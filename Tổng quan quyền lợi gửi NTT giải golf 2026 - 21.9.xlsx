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mac/Desktop/"/>
    </mc:Choice>
  </mc:AlternateContent>
  <xr:revisionPtr revIDLastSave="0" documentId="8_{14CA987F-7583-104E-8F5F-964289F91E9C}" xr6:coauthVersionLast="47" xr6:coauthVersionMax="47" xr10:uidLastSave="{00000000-0000-0000-0000-000000000000}"/>
  <bookViews>
    <workbookView xWindow="3500" yWindow="740" windowWidth="25900" windowHeight="17080" activeTab="7" xr2:uid="{00000000-000D-0000-FFFF-FFFF00000000}"/>
  </bookViews>
  <sheets>
    <sheet name="00_Huong_dan" sheetId="1" r:id="rId1"/>
    <sheet name="01_Khong_gian" sheetId="2" r:id="rId2"/>
    <sheet name="02_Asset_Master" sheetId="3" r:id="rId3"/>
    <sheet name="03_Phan_bo" sheetId="4" r:id="rId4"/>
    <sheet name="04_Kiem_soat" sheetId="5" r:id="rId5"/>
    <sheet name="99_Danh_muc" sheetId="6" r:id="rId6"/>
    <sheet name="05_Checklist_Khoa_cap" sheetId="7" r:id="rId7"/>
    <sheet name="06_Bang_gui_NTT" sheetId="8" r:id="rId8"/>
    <sheet name="07_Ma_tran_noi_bo" sheetId="9" r:id="rId9"/>
    <sheet name="08_Kiem_tra_Cap" sheetId="10" r:id="rId10"/>
    <sheet name="09_Can_doi_Tai_chinh" sheetId="11"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1" i="11" l="1"/>
  <c r="D11" i="11"/>
  <c r="C11" i="11"/>
  <c r="F10" i="11"/>
  <c r="G10" i="11" s="1"/>
  <c r="F9" i="11"/>
  <c r="G9" i="11" s="1"/>
  <c r="F8" i="11"/>
  <c r="G8" i="11" s="1"/>
  <c r="F7" i="11"/>
  <c r="G7" i="11" s="1"/>
  <c r="F6" i="11"/>
  <c r="G6" i="11" s="1"/>
  <c r="F5" i="11"/>
  <c r="G5" i="11" s="1"/>
  <c r="E29" i="10"/>
  <c r="G29" i="10" s="1"/>
  <c r="E27" i="10"/>
  <c r="G27" i="10" s="1"/>
  <c r="E25" i="10"/>
  <c r="G25" i="10" s="1"/>
  <c r="E23" i="10"/>
  <c r="G23" i="10" s="1"/>
  <c r="E21" i="10"/>
  <c r="G21" i="10" s="1"/>
  <c r="E19" i="10"/>
  <c r="G19" i="10" s="1"/>
  <c r="E17" i="10"/>
  <c r="G17" i="10" s="1"/>
  <c r="E15" i="10"/>
  <c r="G15" i="10" s="1"/>
  <c r="E13" i="10"/>
  <c r="G13" i="10" s="1"/>
  <c r="E11" i="10"/>
  <c r="G11" i="10" s="1"/>
  <c r="E9" i="10"/>
  <c r="G9" i="10" s="1"/>
  <c r="E7" i="10"/>
  <c r="G7" i="10" s="1"/>
  <c r="E5" i="10"/>
  <c r="G5" i="10" s="1"/>
  <c r="L30" i="9"/>
  <c r="M30" i="9" s="1"/>
  <c r="L29" i="9"/>
  <c r="E28" i="10" s="1"/>
  <c r="G28" i="10" s="1"/>
  <c r="M28" i="9"/>
  <c r="F27" i="10" s="1"/>
  <c r="L28" i="9"/>
  <c r="M27" i="9"/>
  <c r="N27" i="9" s="1"/>
  <c r="H26" i="10" s="1"/>
  <c r="L27" i="9"/>
  <c r="E26" i="10" s="1"/>
  <c r="G26" i="10" s="1"/>
  <c r="M26" i="9"/>
  <c r="F25" i="10" s="1"/>
  <c r="L26" i="9"/>
  <c r="L25" i="9"/>
  <c r="E24" i="10" s="1"/>
  <c r="G24" i="10" s="1"/>
  <c r="L24" i="9"/>
  <c r="M24" i="9" s="1"/>
  <c r="L23" i="9"/>
  <c r="M23" i="9" s="1"/>
  <c r="L22" i="9"/>
  <c r="M22" i="9" s="1"/>
  <c r="L21" i="9"/>
  <c r="E20" i="10" s="1"/>
  <c r="G20" i="10" s="1"/>
  <c r="M20" i="9"/>
  <c r="F19" i="10" s="1"/>
  <c r="L20" i="9"/>
  <c r="M19" i="9"/>
  <c r="N19" i="9" s="1"/>
  <c r="H18" i="10" s="1"/>
  <c r="L19" i="9"/>
  <c r="E18" i="10" s="1"/>
  <c r="G18" i="10" s="1"/>
  <c r="M18" i="9"/>
  <c r="F17" i="10" s="1"/>
  <c r="L18" i="9"/>
  <c r="N17" i="9"/>
  <c r="H16" i="10" s="1"/>
  <c r="M17" i="9"/>
  <c r="F16" i="10" s="1"/>
  <c r="L17" i="9"/>
  <c r="E16" i="10" s="1"/>
  <c r="G16" i="10" s="1"/>
  <c r="L16" i="9"/>
  <c r="M16" i="9" s="1"/>
  <c r="L15" i="9"/>
  <c r="M15" i="9" s="1"/>
  <c r="L14" i="9"/>
  <c r="M14" i="9" s="1"/>
  <c r="L13" i="9"/>
  <c r="E12" i="10" s="1"/>
  <c r="G12" i="10" s="1"/>
  <c r="M12" i="9"/>
  <c r="F11" i="10" s="1"/>
  <c r="L12" i="9"/>
  <c r="M11" i="9"/>
  <c r="N11" i="9" s="1"/>
  <c r="H10" i="10" s="1"/>
  <c r="L11" i="9"/>
  <c r="E10" i="10" s="1"/>
  <c r="G10" i="10" s="1"/>
  <c r="M10" i="9"/>
  <c r="F9" i="10" s="1"/>
  <c r="L10" i="9"/>
  <c r="N9" i="9"/>
  <c r="H8" i="10" s="1"/>
  <c r="M9" i="9"/>
  <c r="F8" i="10" s="1"/>
  <c r="L9" i="9"/>
  <c r="E8" i="10" s="1"/>
  <c r="G8" i="10" s="1"/>
  <c r="L8" i="9"/>
  <c r="M8" i="9" s="1"/>
  <c r="L7" i="9"/>
  <c r="M7" i="9" s="1"/>
  <c r="L6" i="9"/>
  <c r="M6" i="9" s="1"/>
  <c r="G18" i="5"/>
  <c r="E18" i="5"/>
  <c r="D18" i="5"/>
  <c r="G17" i="5"/>
  <c r="D17" i="5"/>
  <c r="E17" i="5" s="1"/>
  <c r="G16" i="5"/>
  <c r="E16" i="5"/>
  <c r="D16" i="5"/>
  <c r="G15" i="5"/>
  <c r="F15" i="5"/>
  <c r="D15" i="5"/>
  <c r="E15" i="5" s="1"/>
  <c r="G14" i="5"/>
  <c r="E14" i="5"/>
  <c r="D14" i="5"/>
  <c r="G13" i="5"/>
  <c r="D13" i="5"/>
  <c r="E13" i="5" s="1"/>
  <c r="G12" i="5"/>
  <c r="E12" i="5"/>
  <c r="D12" i="5"/>
  <c r="B8" i="5"/>
  <c r="B5" i="5"/>
  <c r="B4" i="5"/>
  <c r="B6" i="5" s="1"/>
  <c r="W29" i="3"/>
  <c r="M29" i="3"/>
  <c r="K29" i="3"/>
  <c r="L29" i="3" s="1"/>
  <c r="I29" i="3"/>
  <c r="W28" i="3"/>
  <c r="M28" i="3"/>
  <c r="L28" i="3"/>
  <c r="K28" i="3"/>
  <c r="I28" i="3"/>
  <c r="W27" i="3"/>
  <c r="M27" i="3"/>
  <c r="K27" i="3"/>
  <c r="I27" i="3"/>
  <c r="L27" i="3" s="1"/>
  <c r="W26" i="3"/>
  <c r="M26" i="3"/>
  <c r="K26" i="3"/>
  <c r="I26" i="3"/>
  <c r="L26" i="3" s="1"/>
  <c r="W25" i="3"/>
  <c r="M25" i="3"/>
  <c r="K25" i="3"/>
  <c r="I25" i="3"/>
  <c r="L25" i="3" s="1"/>
  <c r="W24" i="3"/>
  <c r="M24" i="3"/>
  <c r="F18" i="5" s="1"/>
  <c r="L24" i="3"/>
  <c r="K24" i="3"/>
  <c r="I24" i="3"/>
  <c r="W23" i="3"/>
  <c r="M23" i="3"/>
  <c r="K23" i="3"/>
  <c r="I23" i="3"/>
  <c r="L23" i="3" s="1"/>
  <c r="W22" i="3"/>
  <c r="M22" i="3"/>
  <c r="K22" i="3"/>
  <c r="I22" i="3"/>
  <c r="L22" i="3" s="1"/>
  <c r="W21" i="3"/>
  <c r="M21" i="3"/>
  <c r="K21" i="3"/>
  <c r="L21" i="3" s="1"/>
  <c r="I21" i="3"/>
  <c r="W20" i="3"/>
  <c r="M20" i="3"/>
  <c r="L20" i="3"/>
  <c r="K20" i="3"/>
  <c r="I20" i="3"/>
  <c r="W19" i="3"/>
  <c r="M19" i="3"/>
  <c r="F17" i="5" s="1"/>
  <c r="K19" i="3"/>
  <c r="I19" i="3"/>
  <c r="L19" i="3" s="1"/>
  <c r="W18" i="3"/>
  <c r="M18" i="3"/>
  <c r="K18" i="3"/>
  <c r="I18" i="3"/>
  <c r="L18" i="3" s="1"/>
  <c r="W17" i="3"/>
  <c r="M17" i="3"/>
  <c r="K17" i="3"/>
  <c r="I17" i="3"/>
  <c r="L17" i="3" s="1"/>
  <c r="W16" i="3"/>
  <c r="M16" i="3"/>
  <c r="K16" i="3"/>
  <c r="I16" i="3"/>
  <c r="L16" i="3" s="1"/>
  <c r="W15" i="3"/>
  <c r="M15" i="3"/>
  <c r="F16" i="5" s="1"/>
  <c r="K15" i="3"/>
  <c r="I15" i="3"/>
  <c r="L15" i="3" s="1"/>
  <c r="W14" i="3"/>
  <c r="M14" i="3"/>
  <c r="K14" i="3"/>
  <c r="I14" i="3"/>
  <c r="L14" i="3" s="1"/>
  <c r="W13" i="3"/>
  <c r="M13" i="3"/>
  <c r="K13" i="3"/>
  <c r="L13" i="3" s="1"/>
  <c r="I13" i="3"/>
  <c r="W12" i="3"/>
  <c r="M12" i="3"/>
  <c r="L12" i="3"/>
  <c r="K12" i="3"/>
  <c r="I12" i="3"/>
  <c r="W11" i="3"/>
  <c r="M11" i="3"/>
  <c r="K11" i="3"/>
  <c r="I11" i="3"/>
  <c r="L11" i="3" s="1"/>
  <c r="W10" i="3"/>
  <c r="M10" i="3"/>
  <c r="F14" i="5" s="1"/>
  <c r="K10" i="3"/>
  <c r="I10" i="3"/>
  <c r="L10" i="3" s="1"/>
  <c r="W9" i="3"/>
  <c r="M9" i="3"/>
  <c r="K9" i="3"/>
  <c r="I9" i="3"/>
  <c r="L9" i="3" s="1"/>
  <c r="W8" i="3"/>
  <c r="M8" i="3"/>
  <c r="F13" i="5" s="1"/>
  <c r="K8" i="3"/>
  <c r="I8" i="3"/>
  <c r="L8" i="3" s="1"/>
  <c r="W7" i="3"/>
  <c r="M7" i="3"/>
  <c r="F12" i="5" s="1"/>
  <c r="K7" i="3"/>
  <c r="I7" i="3"/>
  <c r="L7" i="3" s="1"/>
  <c r="W6" i="3"/>
  <c r="B9" i="5" s="1"/>
  <c r="M6" i="3"/>
  <c r="K6" i="3"/>
  <c r="I6" i="3"/>
  <c r="L6" i="3" s="1"/>
  <c r="W5" i="3"/>
  <c r="M5" i="3"/>
  <c r="B7" i="5" s="1"/>
  <c r="K5" i="3"/>
  <c r="L5" i="3" s="1"/>
  <c r="I5" i="3"/>
  <c r="M25" i="9" l="1"/>
  <c r="F14" i="10"/>
  <c r="N15" i="9"/>
  <c r="H14" i="10" s="1"/>
  <c r="I6" i="11"/>
  <c r="H6" i="11"/>
  <c r="J6" i="11" s="1"/>
  <c r="F15" i="10"/>
  <c r="N16" i="9"/>
  <c r="H15" i="10" s="1"/>
  <c r="F29" i="10"/>
  <c r="N30" i="9"/>
  <c r="H29" i="10" s="1"/>
  <c r="I7" i="11"/>
  <c r="H7" i="11"/>
  <c r="J7" i="11" s="1"/>
  <c r="F5" i="10"/>
  <c r="N6" i="9"/>
  <c r="H5" i="10" s="1"/>
  <c r="I8" i="11"/>
  <c r="H8" i="11"/>
  <c r="J8" i="11" s="1"/>
  <c r="I9" i="11"/>
  <c r="H9" i="11"/>
  <c r="J9" i="11" s="1"/>
  <c r="F22" i="10"/>
  <c r="N23" i="9"/>
  <c r="H22" i="10" s="1"/>
  <c r="F23" i="10"/>
  <c r="N24" i="9"/>
  <c r="H23" i="10" s="1"/>
  <c r="F6" i="10"/>
  <c r="N7" i="9"/>
  <c r="H6" i="10" s="1"/>
  <c r="F7" i="10"/>
  <c r="N8" i="9"/>
  <c r="H7" i="10" s="1"/>
  <c r="F21" i="10"/>
  <c r="N22" i="9"/>
  <c r="H21" i="10" s="1"/>
  <c r="H10" i="11"/>
  <c r="J10" i="11" s="1"/>
  <c r="I10" i="11"/>
  <c r="F13" i="10"/>
  <c r="N14" i="9"/>
  <c r="H13" i="10" s="1"/>
  <c r="I5" i="11"/>
  <c r="I11" i="11" s="1"/>
  <c r="H5" i="11"/>
  <c r="J5" i="11" s="1"/>
  <c r="G11" i="11"/>
  <c r="H11" i="11" s="1"/>
  <c r="N10" i="9"/>
  <c r="H9" i="10" s="1"/>
  <c r="M13" i="9"/>
  <c r="N18" i="9"/>
  <c r="H17" i="10" s="1"/>
  <c r="M21" i="9"/>
  <c r="N26" i="9"/>
  <c r="H25" i="10" s="1"/>
  <c r="M29" i="9"/>
  <c r="E6" i="10"/>
  <c r="G6" i="10" s="1"/>
  <c r="E14" i="10"/>
  <c r="G14" i="10" s="1"/>
  <c r="E22" i="10"/>
  <c r="G22" i="10" s="1"/>
  <c r="F10" i="10"/>
  <c r="F18" i="10"/>
  <c r="F26" i="10"/>
  <c r="N12" i="9"/>
  <c r="H11" i="10" s="1"/>
  <c r="N20" i="9"/>
  <c r="H19" i="10" s="1"/>
  <c r="N28" i="9"/>
  <c r="H27" i="10" s="1"/>
  <c r="F24" i="10" l="1"/>
  <c r="N25" i="9"/>
  <c r="H24" i="10" s="1"/>
  <c r="F28" i="10"/>
  <c r="N29" i="9"/>
  <c r="H28" i="10" s="1"/>
  <c r="B35" i="10"/>
  <c r="F20" i="10"/>
  <c r="N21" i="9"/>
  <c r="H20" i="10" s="1"/>
  <c r="F12" i="10"/>
  <c r="N13" i="9"/>
  <c r="H12" i="10" s="1"/>
  <c r="B34" i="10" s="1"/>
</calcChain>
</file>

<file path=xl/sharedStrings.xml><?xml version="1.0" encoding="utf-8"?>
<sst xmlns="http://schemas.openxmlformats.org/spreadsheetml/2006/main" count="1153" uniqueCount="529">
  <si>
    <t>BẢN ĐỒ KHÔNG GIAN QUYỀN LỢI – GIẢI GOLF BÁO LAO ĐỘNG OPEN 2026</t>
  </si>
  <si>
    <t>MỤC ĐÍCH</t>
  </si>
  <si>
    <t>Workbook dùng để khóa kho quyền lợi trước khi ghép vào 7 mức tài trợ. Bản tối ưu giữ 07 không gian nhưng chỉ còn 25 quyền lợi thực sự cần quản lý capacity, tránh tính trùng và giảm gánh nặng vận hành.</t>
  </si>
  <si>
    <t>BƯỚC</t>
  </si>
  <si>
    <t>CÁCH LÀM</t>
  </si>
  <si>
    <t>1</t>
  </si>
  <si>
    <t>Khóa capacity FINAL tại sheet 02_Asset_Master sau khi có xác nhận từ sân golf, Gala và đội Media.</t>
  </si>
  <si>
    <t>2</t>
  </si>
  <si>
    <t>Không tính Flight thành kho riêng: 4 suất golfer có thể xếp 1 flight nhưng vẫn trừ từ quota suất golfer.</t>
  </si>
  <si>
    <t>3</t>
  </si>
  <si>
    <t>Không tính Bàn VIP thành kho riêng: bàn/ghế ưu tiên chỉ là cách bố trí trong quota suất Gala/VIP.</t>
  </si>
  <si>
    <t>4</t>
  </si>
  <si>
    <t>Với logo Shared, khi phân bổ tại sheet 03_Phan_bo chọn cấp hiển thị: Ưu tiên 1 / Ưu tiên 2 / Đồng hành.</t>
  </si>
  <si>
    <t>5</t>
  </si>
  <si>
    <t>Với tài trợ hiện vật/giải thưởng/dịch vụ, ghi rõ loại tài trợ và giá trị quy đổi do BTC chấp thuận; không mặc định theo giá niêm yết.</t>
  </si>
  <si>
    <t>6</t>
  </si>
  <si>
    <t>Nhập chi phí thực hiện/đơn vị ở cột T để biết chi phí đã cam kết khi quyền lợi được bán.</t>
  </si>
  <si>
    <t>7</t>
  </si>
  <si>
    <t>Mỗi quyền lợi quan trọng có phương án make-good ở cột V để xử lý mưa, đổi layout, hết inventory hoặc thay đổi chương trình.</t>
  </si>
  <si>
    <t>8</t>
  </si>
  <si>
    <t>Khi chốt NTT/gói, nhập mã asset + số lượng ở sheet 03_Phan_bo. Asset Master tự trừ capacity.</t>
  </si>
  <si>
    <t>9</t>
  </si>
  <si>
    <t>Không bán khi trạng thái báo VƯỢT CAP/HẾT. Asset Signature chỉ dành cho cấp cao nhất hoặc trường hợp đặc biệt.</t>
  </si>
  <si>
    <t>10</t>
  </si>
  <si>
    <t>Chỉ sau khi capacity trọng yếu được khóa mới ghép 7 gói 30–50–100–200–300–500 triệu–1 tỷ.</t>
  </si>
  <si>
    <t>NGUYÊN TẮC TINH GỌN</t>
  </si>
  <si>
    <t>Một quyền lợi chỉ được coi là 'bán được' khi có đầu ra cụ thể, capacity và bằng chứng nghiệm thu.</t>
  </si>
  <si>
    <t>Không tạo quyền lợi mới chỉ để làm gói trông nhiều hơn; ưu tiên quyền lợi dễ trả, dễ nghiệm thu.</t>
  </si>
  <si>
    <t>Quản lý media bằng đơn vị thật: bài; vị trí-tuần banner; post; video/recap; ấn phẩm.</t>
  </si>
  <si>
    <t>Tin/bài thương mại, advertorial và banner là quyền lợi theo gói; tin bài biên tập độc lập tuân thủ nguyên tắc biên tập của Báo.</t>
  </si>
  <si>
    <t>Mọi quyền lợi hiện vật phải được quy đổi theo giá trị BTC thực sự chấp thuận và sử dụng.</t>
  </si>
  <si>
    <t>Ưu tiên Gala để trả quyền lợi nghi thức; ưu tiên sân golf để trả quyền lợi thi đấu/hiện diện trực tiếp.</t>
  </si>
  <si>
    <t>BẢN ĐỒ 07 KHÔNG GIAN QUYỀN LỢI – CẤU TRÚC TINH GỌN</t>
  </si>
  <si>
    <t>Mã KG</t>
  </si>
  <si>
    <t>Không gian</t>
  </si>
  <si>
    <t>Số quyền lợi quản lý</t>
  </si>
  <si>
    <t>Nguyên tắc vận hành</t>
  </si>
  <si>
    <t>KG01</t>
  </si>
  <si>
    <t>Nhận diện chung toàn giải</t>
  </si>
  <si>
    <t>Quản lý 3 cấp hiển thị: Ưu tiên 1 / Ưu tiên 2 / Đồng hành.</t>
  </si>
  <si>
    <t>KG02</t>
  </si>
  <si>
    <t>Check-in và đón khách</t>
  </si>
  <si>
    <t>Chỉ bán vị trí riêng sau khi khóa layout check-in.</t>
  </si>
  <si>
    <t>KG03</t>
  </si>
  <si>
    <t>Sân golf và thi đấu</t>
  </si>
  <si>
    <t>Khóa bằng sơ đồ sân; tách rõ hố thường, HIO và giải kỹ thuật.</t>
  </si>
  <si>
    <t>KG04</t>
  </si>
  <si>
    <t>Golfer và Networking</t>
  </si>
  <si>
    <t>Chỉ quản lý suất golfer và suất Gala; flight/bàn VIP là cách bố trí, không phải kho riêng.</t>
  </si>
  <si>
    <t>KG05</t>
  </si>
  <si>
    <t>Activation và trưng bày thương hiệu</t>
  </si>
  <si>
    <t>Chỉ bán khi địa điểm duyệt mặt bằng, điện, thi công và luồng khách.</t>
  </si>
  <si>
    <t>KG06</t>
  </si>
  <si>
    <t>Gala Dinner và Lễ trao giải</t>
  </si>
  <si>
    <t>Giới hạn slot sân khấu theo run-of-show; không bán MC/phát biểu vô hạn.</t>
  </si>
  <si>
    <t>KG07</t>
  </si>
  <si>
    <t>Truyền thông trên hệ sinh thái Báo Lao Động</t>
  </si>
  <si>
    <t>Khóa inventory thật theo bài, vị trí-tuần banner, post, video và ấn phẩm.</t>
  </si>
  <si>
    <t>ASSET MASTER – KHO QUYỀN LỢI ĐÃ TỐI ƯU ĐỂ CÂN ĐỐI TRẢ TÀI TRỢ</t>
  </si>
  <si>
    <t>Ô vàng cần khóa: Cap FINAL, phần BTC giữ và chi phí thực hiện/đơn vị. Đã loại bỏ việc tính trùng Flight và Bàn VIP; hai nội dung này chỉ là cách bố trí từ quota Golfer/Gala.</t>
  </si>
  <si>
    <t>Mã asset</t>
  </si>
  <si>
    <t>Quyền lợi</t>
  </si>
  <si>
    <t>Đầu ra cụ thể</t>
  </si>
  <si>
    <t>Đơn vị</t>
  </si>
  <si>
    <t>Cap đề xuất</t>
  </si>
  <si>
    <t>Cap khóa FINAL</t>
  </si>
  <si>
    <t>Cap áp dụng</t>
  </si>
  <si>
    <t>BTC giữ/dự phòng</t>
  </si>
  <si>
    <t>Đã phân bổ</t>
  </si>
  <si>
    <t>Còn lại</t>
  </si>
  <si>
    <t>Trạng thái</t>
  </si>
  <si>
    <t>Level</t>
  </si>
  <si>
    <t>Nhóm</t>
  </si>
  <si>
    <t>Phụ trách</t>
  </si>
  <si>
    <t>Bằng chứng nghiệm thu</t>
  </si>
  <si>
    <t>Điều kiện triển khai</t>
  </si>
  <si>
    <t>Ghi chú</t>
  </si>
  <si>
    <t>CP thực hiện/đơn vị (VND)</t>
  </si>
  <si>
    <t>Loại tài trợ phù hợp</t>
  </si>
  <si>
    <t>Quyền lợi thay thế / make-good</t>
  </si>
  <si>
    <t>CP thực hiện đã cam kết (VND)</t>
  </si>
  <si>
    <t>A01</t>
  </si>
  <si>
    <t>Logo trên key visual/ấn phẩm chính</t>
  </si>
  <si>
    <t>Logo xuất hiện trên key visual và ấn phẩm chính thức phù hợp</t>
  </si>
  <si>
    <t>NTT</t>
  </si>
  <si>
    <t>Shared</t>
  </si>
  <si>
    <t>Lõi</t>
  </si>
  <si>
    <t>Thiết kế/Event</t>
  </si>
  <si>
    <t>File thiết kế + ảnh/ấn phẩm</t>
  </si>
  <si>
    <t>Phân theo cấp hiển thị được duyệt</t>
  </si>
  <si>
    <t>Cấp hiển thị quản lý tại sheet 03_Phan_bo; không cam kết vị trí cụ thể trước khi chốt layout</t>
  </si>
  <si>
    <t>Tiền mặt / Hỗn hợp</t>
  </si>
  <si>
    <t>Chuyển sang vị trí nhận diện tương đương nếu một ấn phẩm không sản xuất</t>
  </si>
  <si>
    <t>A02</t>
  </si>
  <si>
    <t>Logo trên backdrop/LED nhận diện chung</t>
  </si>
  <si>
    <t>Logo trong cụm nhận diện Nhà tài trợ tại backdrop/LED</t>
  </si>
  <si>
    <t>Ảnh backdrop/LED thực tế</t>
  </si>
  <si>
    <t>Theo layout sân khấu và kích thước màn hình</t>
  </si>
  <si>
    <t>Áp dụng 3 cấp hiển thị: Ưu tiên 1 / Ưu tiên 2 / Đồng hành</t>
  </si>
  <si>
    <t>Chuyển sang màn hình/visual nhận diện tương đương</t>
  </si>
  <si>
    <t>A03</t>
  </si>
  <si>
    <t>Logo trên tài liệu/ấn phẩm tại sự kiện</t>
  </si>
  <si>
    <t>Logo trên tài liệu hoặc bảng thông tin phù hợp tại sự kiện</t>
  </si>
  <si>
    <t>Ảnh/scan ấn phẩm</t>
  </si>
  <si>
    <t>Chỉ áp dụng ấn phẩm có sản xuất thực tế</t>
  </si>
  <si>
    <t>Không tạo thêm ấn phẩm chỉ để trả quyền lợi</t>
  </si>
  <si>
    <t>Chuyển sang ấn phẩm/visual thực tế khác của giải</t>
  </si>
  <si>
    <t>A04</t>
  </si>
  <si>
    <t>Logo tại photo wall/check-in</t>
  </si>
  <si>
    <t>Logo trong cụm Nhà tài trợ tại khu check-in/photo wall</t>
  </si>
  <si>
    <t>Event</t>
  </si>
  <si>
    <t>Ảnh khu check-in/photo wall</t>
  </si>
  <si>
    <t>Theo mặt bằng và layout được sân duyệt</t>
  </si>
  <si>
    <t>Áp dụng cấp hiển thị như nhận diện chung</t>
  </si>
  <si>
    <t>Chuyển sang backdrop/LED nhận diện chung</t>
  </si>
  <si>
    <t>A05</t>
  </si>
  <si>
    <t>Standee/biển thương hiệu tại khu đón khách</t>
  </si>
  <si>
    <t>01 vị trí standee/biển thương hiệu riêng</t>
  </si>
  <si>
    <t>Vị trí</t>
  </si>
  <si>
    <t>Dedicated</t>
  </si>
  <si>
    <t>Chuyên biệt</t>
  </si>
  <si>
    <t>Ảnh vị trí thực tế</t>
  </si>
  <si>
    <t>NTT cung cấp file đúng deadline; kích thước theo BTC</t>
  </si>
  <si>
    <t>Chỉ bán khi layout check-in được chốt</t>
  </si>
  <si>
    <t>Bố trí vị trí tương đương trong khu đón khách</t>
  </si>
  <si>
    <t>A06</t>
  </si>
  <si>
    <t>Branding hố golf thường</t>
  </si>
  <si>
    <t>Biển thương hiệu tại 01 hố golf thường</t>
  </si>
  <si>
    <t>Hố</t>
  </si>
  <si>
    <t>Event/Sân golf</t>
  </si>
  <si>
    <t>Ảnh biển tại hố</t>
  </si>
  <si>
    <t>Chỉ bán sau khi khóa sơ đồ sân; không trùng HIO/giải kỹ thuật</t>
  </si>
  <si>
    <t>Cap đề xuất 8; phải xác nhận bằng sơ đồ hố được sân duyệt</t>
  </si>
  <si>
    <t>Chuyển hố tương đương hoặc tăng quyền lợi Gala/Media theo thỏa thuận</t>
  </si>
  <si>
    <t>A07</t>
  </si>
  <si>
    <t>Tài trợ Hole-in-One</t>
  </si>
  <si>
    <t>Nhận diện thương hiệu tại 01 hố HIO và gắn với giải thưởng HIO</t>
  </si>
  <si>
    <t>Hố HIO</t>
  </si>
  <si>
    <t>Signature</t>
  </si>
  <si>
    <t>BTC/Event</t>
  </si>
  <si>
    <t>Ảnh hố + tài liệu giải thưởng</t>
  </si>
  <si>
    <t>Chốt hố, thể lệ, giá trị giải thưởng và điều kiện xác nhận HIO</t>
  </si>
  <si>
    <t>Phải phân biệt giá trị giải thưởng công bố với giá trị tài trợ được BTC ghi nhận</t>
  </si>
  <si>
    <t>Giải thưởng / Hiện vật / Hỗn hợp</t>
  </si>
  <si>
    <t>Chuyển sang giải kỹ thuật hoặc quyền lợi media tương đương nếu hố HIO không triển khai</t>
  </si>
  <si>
    <t>A08</t>
  </si>
  <si>
    <t>Tài trợ giải kỹ thuật</t>
  </si>
  <si>
    <t>Gắn thương hiệu với 01 giải kỹ thuật: Nearest to the Pin/Longest Drive/...</t>
  </si>
  <si>
    <t>Giải</t>
  </si>
  <si>
    <t>Ảnh biển + ảnh trao giải</t>
  </si>
  <si>
    <t>Theo cơ cấu giải kỹ thuật cuối cùng</t>
  </si>
  <si>
    <t>Chỉ bán đúng số giải trong điều lệ cuối cùng</t>
  </si>
  <si>
    <t>Chuyển sang hạng mục giải tương đương hoặc quyền trao giải khác</t>
  </si>
  <si>
    <t>A09</t>
  </si>
  <si>
    <t>Suất golfer cho Nhà tài trợ</t>
  </si>
  <si>
    <t>01 suất tham dự thi đấu</t>
  </si>
  <si>
    <t>Golfer</t>
  </si>
  <si>
    <t>Điều phối golfer</t>
  </si>
  <si>
    <t>Pairing list/check-in</t>
  </si>
  <si>
    <t>Phân bổ theo flight; số lượng cuối phụ thuộc quy mô giải</t>
  </si>
  <si>
    <t>4 suất có thể xếp 01 flight. Flight KHÔNG phải một kho quyền lợi riêng để tránh tính trùng</t>
  </si>
  <si>
    <t>Đổi sang suất Gala/Media theo thỏa thuận nếu không thể bố trí golfer</t>
  </si>
  <si>
    <t>A10</t>
  </si>
  <si>
    <t>Suất Gala/VIP cho Nhà tài trợ</t>
  </si>
  <si>
    <t>01 suất tham dự Gala Dinner và Lễ trao giải</t>
  </si>
  <si>
    <t>Khách</t>
  </si>
  <si>
    <t>Guest/Gala</t>
  </si>
  <si>
    <t>Danh sách khách + check-in</t>
  </si>
  <si>
    <t>Trừ quota BTC, golfer và khách mời trước khi khóa</t>
  </si>
  <si>
    <t>Bàn/ghế VIP chỉ là cách bố trí trong quota này, KHÔNG tạo thêm kho ghế riêng</t>
  </si>
  <si>
    <t>Bố trí ghế tương đương hoặc tăng suất khác trong quota Gala</t>
  </si>
  <si>
    <t>A11</t>
  </si>
  <si>
    <t>Booth/điểm activation</t>
  </si>
  <si>
    <t>01 vị trí booth/activation riêng</t>
  </si>
  <si>
    <t>Ảnh booth + layout</t>
  </si>
  <si>
    <t>Phụ thuộc mặt bằng, điện, quy định sân và phương án thi công</t>
  </si>
  <si>
    <t>Chỉ bán khi mặt bằng được xác nhận</t>
  </si>
  <si>
    <t>Tiền mặt / Hiện vật / Dịch vụ / Hỗn hợp</t>
  </si>
  <si>
    <t>Chuyển sang điểm trưng bày/standee hoặc media tương đương</t>
  </si>
  <si>
    <t>A12</t>
  </si>
  <si>
    <t>Trưng bày xe/sản phẩm kích thước lớn</t>
  </si>
  <si>
    <t>01 vị trí trưng bày riêng</t>
  </si>
  <si>
    <t>Ảnh vị trí + layout</t>
  </si>
  <si>
    <t>Phải được sân/địa điểm chấp thuận; tuân thủ điều kiện kỹ thuật</t>
  </si>
  <si>
    <t>Không mặc định có quyền lái thử hoặc dùng điện nếu chưa duyệt</t>
  </si>
  <si>
    <t>Hiện vật / Dịch vụ / Hỗn hợp</t>
  </si>
  <si>
    <t>Chuyển sang booth hoặc khu trưng bày tương đương</t>
  </si>
  <si>
    <t>A13</t>
  </si>
  <si>
    <t>Sản phẩm/voucher trong gift bag</t>
  </si>
  <si>
    <t>01 nhãn hàng được đưa sản phẩm/voucher vào túi quà golfer</t>
  </si>
  <si>
    <t>Nhãn hàng</t>
  </si>
  <si>
    <t>Event/Guest</t>
  </si>
  <si>
    <t>Ảnh gift bag + biên bản nhận hàng</t>
  </si>
  <si>
    <t>Kích thước/số lượng theo hướng dẫn BTC; giao hàng đúng hạn</t>
  </si>
  <si>
    <t>Giá trị tài trợ ghi nhận theo mức BTC chấp thuận, không mặc định theo giá niêm yết</t>
  </si>
  <si>
    <t>Chuyển sang phát tại check-in nếu không kịp đóng gift bag</t>
  </si>
  <si>
    <t>A14</t>
  </si>
  <si>
    <t>Sampling/trải nghiệm sản phẩm</t>
  </si>
  <si>
    <t>01 hoạt động sampling/trải nghiệm trong khu vực cho phép</t>
  </si>
  <si>
    <t>Hoạt động</t>
  </si>
  <si>
    <t>Ảnh hoạt động</t>
  </si>
  <si>
    <t>Không ảnh hưởng luồng khách/thi đấu; tuân thủ quy định địa điểm</t>
  </si>
  <si>
    <t>Không áp dụng sản phẩm/dịch vụ không phù hợp quy định</t>
  </si>
  <si>
    <t>Chuyển sang booth/trưng bày hoặc gift bag</t>
  </si>
  <si>
    <t>A15</t>
  </si>
  <si>
    <t>Logo trên LED/backdrop Gala</t>
  </si>
  <si>
    <t>Logo trong cụm nhận diện Nhà tài trợ trên sân khấu Gala</t>
  </si>
  <si>
    <t>Stage/Thiết kế</t>
  </si>
  <si>
    <t>Ảnh sân khấu/LED</t>
  </si>
  <si>
    <t>Theo layout và cấp hiển thị đã duyệt</t>
  </si>
  <si>
    <t>Không tăng số logo quá mức gây rối sân khấu</t>
  </si>
  <si>
    <t>Chuyển sang slide cảm ơn/visual Gala tương đương</t>
  </si>
  <si>
    <t>A16</t>
  </si>
  <si>
    <t>MC ghi nhận/cảm ơn Nhà tài trợ</t>
  </si>
  <si>
    <t>Tên thương hiệu được MC ghi nhận tại một mốc phù hợp trong Gala</t>
  </si>
  <si>
    <t>Kịch bản/MC</t>
  </si>
  <si>
    <t>Kịch bản final + video/ảnh</t>
  </si>
  <si>
    <t>Gom theo cụm cấp tài trợ, không lặp quá nhiều lần</t>
  </si>
  <si>
    <t>Quản lý theo mốc opening/awards/closing, không bán số lần nhắc vô hạn</t>
  </si>
  <si>
    <t>Bổ sung slide cảm ơn nếu một mốc MC thay đổi</t>
  </si>
  <si>
    <t>A17</t>
  </si>
  <si>
    <t>Đại diện Nhà tài trợ trao giải</t>
  </si>
  <si>
    <t>01 đại diện lên sân khấu trao 01 hạng mục giải</t>
  </si>
  <si>
    <t>Slot</t>
  </si>
  <si>
    <t>Stage manager</t>
  </si>
  <si>
    <t>Ảnh/video trao giải</t>
  </si>
  <si>
    <t>Theo cơ cấu giải cuối cùng và run-of-show</t>
  </si>
  <si>
    <t>Không cấp vượt số hạng mục trao trên sân khấu</t>
  </si>
  <si>
    <t>Chuyển sang hạng mục trao giải khác tương đương</t>
  </si>
  <si>
    <t>A18</t>
  </si>
  <si>
    <t>Phát biểu tại Gala</t>
  </si>
  <si>
    <t>01 slot phát biểu ngắn tại Gala</t>
  </si>
  <si>
    <t>BTC/Kịch bản</t>
  </si>
  <si>
    <t>Video + kịch bản</t>
  </si>
  <si>
    <t>Thời lượng ngắn; nội dung phải được BTC duyệt trước</t>
  </si>
  <si>
    <t>Chỉ dành cấp tài trợ cao nhất hoặc trường hợp đặc biệt</t>
  </si>
  <si>
    <t>Chuyển sang video/TVC + quyền trao giải chính theo thỏa thuận</t>
  </si>
  <si>
    <t>A19</t>
  </si>
  <si>
    <t>TVC/video thương hiệu trên màn hình Gala</t>
  </si>
  <si>
    <t>01 lượt phát TVC/video thương hiệu trong khung được BTC bố trí</t>
  </si>
  <si>
    <t>Stage/AV</t>
  </si>
  <si>
    <t>Cue sheet + video ghi nhận</t>
  </si>
  <si>
    <t>Giới hạn thời lượng và định dạng; file đúng deadline</t>
  </si>
  <si>
    <t>Khóa số slot theo run-of-show để tránh kéo dài Gala</t>
  </si>
  <si>
    <t>Chuyển sang slide/visual thương hiệu hoặc social/video post</t>
  </si>
  <si>
    <t>A20</t>
  </si>
  <si>
    <t>Bài PR/Advertorial trên Laodong.vn</t>
  </si>
  <si>
    <t>01 bài nội dung thương mại được xuất bản theo quy định của Báo</t>
  </si>
  <si>
    <t>Bài</t>
  </si>
  <si>
    <t>Media</t>
  </si>
  <si>
    <t>Link bài</t>
  </si>
  <si>
    <t>Nội dung, nhãn hiển thị và lịch đăng theo quy định của Báo</t>
  </si>
  <si>
    <t>Không đồng nhất với tin/bài biên tập độc lập</t>
  </si>
  <si>
    <t>Đổi lịch đăng hoặc chuyển sang định dạng nội dung thương mại tương đương</t>
  </si>
  <si>
    <t>A21</t>
  </si>
  <si>
    <t>Banner hiển thị trên Laodong.vn</t>
  </si>
  <si>
    <t>01 vị trí banner trong 01 tuần tại vị trí được phê duyệt</t>
  </si>
  <si>
    <t>Vị trí-tuần</t>
  </si>
  <si>
    <t>Media/AdOps</t>
  </si>
  <si>
    <t>Ảnh chụp + báo cáo/biên bản hiển thị</t>
  </si>
  <si>
    <t>Phải khóa rõ vị trí, kích thước và tuần chạy theo inventory quảng cáo thực tế</t>
  </si>
  <si>
    <t>Không cam kết 'trang chủ' nếu chưa khóa inventory vị trí cụ thể</t>
  </si>
  <si>
    <t>Đổi vị trí/tuần tương đương hoặc media unit khác theo thỏa thuận</t>
  </si>
  <si>
    <t>A22</t>
  </si>
  <si>
    <t>Nội dung social trên nền tảng của Báo Lao Động</t>
  </si>
  <si>
    <t>01 nội dung social thương mại/đồng hành theo kế hoạch</t>
  </si>
  <si>
    <t>Post</t>
  </si>
  <si>
    <t>Social</t>
  </si>
  <si>
    <t>Link/bản chụp bài đăng</t>
  </si>
  <si>
    <t>Theo lịch nội dung và quy định nền tảng</t>
  </si>
  <si>
    <t>Khóa nền tảng cụ thể khi ghép gói</t>
  </si>
  <si>
    <t>Đổi lịch/nền tảng tương đương</t>
  </si>
  <si>
    <t>A23</t>
  </si>
  <si>
    <t>Hiện diện trong video/clip recap sự kiện</t>
  </si>
  <si>
    <t>Logo/nhận diện Nhà tài trợ trong video hoặc clip recap phù hợp</t>
  </si>
  <si>
    <t>Video</t>
  </si>
  <si>
    <t>Link/file video</t>
  </si>
  <si>
    <t>Phạm vi xuất hiện theo format video final</t>
  </si>
  <si>
    <t>Không cam kết thời lượng logo nếu chưa chốt format</t>
  </si>
  <si>
    <t>Chuyển sang end-card/visual hậu sự kiện tương đương</t>
  </si>
  <si>
    <t>A24</t>
  </si>
  <si>
    <t>Nội dung trên Báo Lao Động in/ấn phẩm phù hợp</t>
  </si>
  <si>
    <t>01 đơn vị nội dung/quảng cáo trên ấn phẩm phù hợp nếu có kế hoạch phát hành</t>
  </si>
  <si>
    <t>Bản scan/ấn phẩm</t>
  </si>
  <si>
    <t>Chỉ triển khai khi có kế hoạch ấn phẩm được phê duyệt</t>
  </si>
  <si>
    <t>Không dùng làm quyền lợi chắc chắn nếu kế hoạch in chưa khóa</t>
  </si>
  <si>
    <t>Chuyển sang Laodong.vn/social/banner tương đương</t>
  </si>
  <si>
    <t>A25</t>
  </si>
  <si>
    <t>Bộ ảnh/video hậu sự kiện cho Nhà tài trợ</t>
  </si>
  <si>
    <t>Bộ tư liệu hình ảnh/video liên quan đến quyền lợi của Nhà tài trợ</t>
  </si>
  <si>
    <t>Bộ</t>
  </si>
  <si>
    <t>Media/Event</t>
  </si>
  <si>
    <t>Link thư mục bàn giao</t>
  </si>
  <si>
    <t>Phạm vi sử dụng hình ảnh theo thỏa thuận và quy định</t>
  </si>
  <si>
    <t>Không cam kết toàn bộ raw footage</t>
  </si>
  <si>
    <t>Bàn giao bộ ảnh chọn lọc/clip recap chung</t>
  </si>
  <si>
    <t>PHÂN BỔ QUYỀN LỢI CHO GÓI / NHÀ TÀI TRỢ</t>
  </si>
  <si>
    <t>Nhập 1 dòng cho mỗi quyền lợi. Với logo Shared, chọn Cấp hiển thị. Với hiện vật/giải thưởng/dịch vụ, ghi loại tài trợ và giá trị quy đổi được BTC chấp thuận.</t>
  </si>
  <si>
    <t>STT</t>
  </si>
  <si>
    <t>Tên gói / Nhà tài trợ</t>
  </si>
  <si>
    <t>Số lượng</t>
  </si>
  <si>
    <t>Cấp hiển thị</t>
  </si>
  <si>
    <t>Loại tài trợ</t>
  </si>
  <si>
    <t>Giá trị quy đổi (VND)</t>
  </si>
  <si>
    <t>Ghi chú / điều kiện riêng</t>
  </si>
  <si>
    <t>DASHBOARD KIỂM SOÁT KHO QUYỀN LỢI – BẢN TỐI ƯU</t>
  </si>
  <si>
    <t>KPI</t>
  </si>
  <si>
    <t>Giá trị</t>
  </si>
  <si>
    <t>Tổng số asset</t>
  </si>
  <si>
    <t>Asset đã khóa capacity final</t>
  </si>
  <si>
    <t>Asset chưa khóa final</t>
  </si>
  <si>
    <t>Asset đang vượt capacity</t>
  </si>
  <si>
    <t>Dòng phân bổ đã nhập</t>
  </si>
  <si>
    <t>CP thực hiện đã cam kết (nếu nhập đơn giá)</t>
  </si>
  <si>
    <t>Số asset</t>
  </si>
  <si>
    <t>Đã khóa final</t>
  </si>
  <si>
    <t>% khóa</t>
  </si>
  <si>
    <t>Vượt cap</t>
  </si>
  <si>
    <t>GATE TRƯỚC KHI GHÉP 7 GÓI TÀI TRỢ</t>
  </si>
  <si>
    <t>Chỉ bắt đầu ghép các gói 30–50–100–200–300–500 triệu–1 tỷ sau khi đã khóa tối thiểu: sơ đồ hố/HIO/giải kỹ thuật; quota golfer; quota Gala; booth/trưng bày; slot trao giải/phát biểu/TVC; số bài PR; vị trí-tuần banner; social/video. Flight và bàn VIP không được tính thành kho riêng.</t>
  </si>
  <si>
    <t>Trạng thái phân bổ</t>
  </si>
  <si>
    <t>Ý nghĩa</t>
  </si>
  <si>
    <t>Dự kiến</t>
  </si>
  <si>
    <t>Nhiều NTT có thể cùng hưởng; cần kiểm soát mức độ dày đặc hiển thị.</t>
  </si>
  <si>
    <t>Đã chốt</t>
  </si>
  <si>
    <t>Một slot/vị trí/đơn vị quyền lợi riêng cho một NTT.</t>
  </si>
  <si>
    <t>Đã thực hiện</t>
  </si>
  <si>
    <t>Rất khan hiếm; ưu tiên cấp tài trợ cao hoặc trường hợp đặc biệt.</t>
  </si>
  <si>
    <t>Hủy</t>
  </si>
  <si>
    <t>CHECKLIST KHÓA CAPACITY TRƯỚC KHI GHÉP GÓI TÀI TRỢ</t>
  </si>
  <si>
    <t>Dùng như danh sách việc phải xác nhận; phù hợp cho đội không chuyên golf. Chỉ khi các hạng mục trọng yếu được chốt mới bắt đầu bán/ghép gói.</t>
  </si>
  <si>
    <t>Hạng mục cần xác nhận</t>
  </si>
  <si>
    <t>Đầu mối xác nhận</t>
  </si>
  <si>
    <t>Deadline</t>
  </si>
  <si>
    <t>Sân golf</t>
  </si>
  <si>
    <t>Sơ đồ 18 hố và các hố thực sự có thể thương mại hóa</t>
  </si>
  <si>
    <t>Sân golf/Event</t>
  </si>
  <si>
    <t>Chưa làm</t>
  </si>
  <si>
    <t>Số hố HIO được phép bố trí + điều kiện kỹ thuật</t>
  </si>
  <si>
    <t>BTC/Sân golf</t>
  </si>
  <si>
    <t>Cơ cấu giải kỹ thuật cuối cùng</t>
  </si>
  <si>
    <t>BTC chuyên môn</t>
  </si>
  <si>
    <t>Tổng số golfer của giải</t>
  </si>
  <si>
    <t>Quota suất golfer dành cho NTT</t>
  </si>
  <si>
    <t>BTC/Sales</t>
  </si>
  <si>
    <t>Gala</t>
  </si>
  <si>
    <t>Tổng sức chứa Gala và quota ghế dành cho NTT</t>
  </si>
  <si>
    <t>Số slot trao giải trên sân khấu</t>
  </si>
  <si>
    <t>Số slot phát biểu</t>
  </si>
  <si>
    <t>Số slot TVC/video có thể phát mà không kéo dài chương trình</t>
  </si>
  <si>
    <t>Activation</t>
  </si>
  <si>
    <t>Số booth/điểm activation và điều kiện điện/thi công</t>
  </si>
  <si>
    <t>Số vị trí trưng bày xe/sản phẩm lớn</t>
  </si>
  <si>
    <t>Số bài PR/Advertorial có thể cấp</t>
  </si>
  <si>
    <t>Danh sách vị trí banner + số tuần inventory có thể cấp</t>
  </si>
  <si>
    <t>Số post social có thể cấp + nền tảng</t>
  </si>
  <si>
    <t>Format video/recap và số NTT có thể hiện diện</t>
  </si>
  <si>
    <t>Khả năng sử dụng báo in/ấn phẩm nếu có</t>
  </si>
  <si>
    <t>Tài chính</t>
  </si>
  <si>
    <t>Đơn giá nội bộ để thực hiện từng quyền lợi chính</t>
  </si>
  <si>
    <t>Tài chính/Event/Media</t>
  </si>
  <si>
    <t>Pháp lý/Hợp đồng</t>
  </si>
  <si>
    <t>Nguyên tắc ghi nhận tài trợ hiện vật/giải thưởng/dịch vụ</t>
  </si>
  <si>
    <t>BTC/Tài chính</t>
  </si>
  <si>
    <t>Điều khoản make-good khi quyền lợi phải thay đổi</t>
  </si>
  <si>
    <t>BTC/Pháp chế</t>
  </si>
  <si>
    <t>GIẢI GOLF BÁO LAO ĐỘNG OPEN 2026 – BẢNG QUYỀN LỢI NHÀ TÀI TRỢ</t>
  </si>
  <si>
    <t>Dự kiến tháng 10.2026 • Sân golf Tân Sơn Nhất, TPHCM | Quyền lợi được cấu trúc theo 07 không gian đồng hành và khả năng triển khai thực tế.</t>
  </si>
  <si>
    <t>NHÓM QUYỀN LỢI</t>
  </si>
  <si>
    <t>QUYỀN LỢI</t>
  </si>
  <si>
    <t>ĐỒNG HÀNH</t>
  </si>
  <si>
    <t>BẠC</t>
  </si>
  <si>
    <t>VÀNG</t>
  </si>
  <si>
    <t>BẠCH KIM</t>
  </si>
  <si>
    <t>KIM CƯƠNG</t>
  </si>
  <si>
    <t>NHÀ TÀI TRỢ CHÍNH</t>
  </si>
  <si>
    <t>GHI CHÚ</t>
  </si>
  <si>
    <t>Mức tài trợ</t>
  </si>
  <si>
    <t>Cấp hiển thị nhận diện</t>
  </si>
  <si>
    <t>Đồng hành</t>
  </si>
  <si>
    <t>Ưu tiên 2</t>
  </si>
  <si>
    <t>Ưu tiên 1</t>
  </si>
  <si>
    <t>1. NHẬN DIỆN CHUNG</t>
  </si>
  <si>
    <t>✓</t>
  </si>
  <si>
    <t>Theo cấp hiển thị của từng gói</t>
  </si>
  <si>
    <t>Theo layout được duyệt</t>
  </si>
  <si>
    <t>–</t>
  </si>
  <si>
    <t>Chỉ áp dụng với ấn phẩm thực tế có sản xuất</t>
  </si>
  <si>
    <t>2. CHECK-IN &amp; ĐÓN KHÁCH</t>
  </si>
  <si>
    <t>Theo layout khu đón khách</t>
  </si>
  <si>
    <t>Standee/biển thương hiệu riêng tại khu đón khách</t>
  </si>
  <si>
    <t>01</t>
  </si>
  <si>
    <t>01 vị trí riêng</t>
  </si>
  <si>
    <t>3. SÂN GOLF &amp; THI ĐẤU</t>
  </si>
  <si>
    <t>01 hố</t>
  </si>
  <si>
    <t>02 hố</t>
  </si>
  <si>
    <t>Không trùng hố HIO/giải kỹ thuật</t>
  </si>
  <si>
    <t>4. GOLFER &amp; NETWORKING</t>
  </si>
  <si>
    <t>Suất golfer</t>
  </si>
  <si>
    <t>02</t>
  </si>
  <si>
    <t>04</t>
  </si>
  <si>
    <t>08</t>
  </si>
  <si>
    <t>04 suất có thể bố trí 01 flight theo điều phối BTC</t>
  </si>
  <si>
    <t>Suất Gala Dinner/Lễ trao giải</t>
  </si>
  <si>
    <t>Trong quota khách của Nhà tài trợ</t>
  </si>
  <si>
    <t>5. ACTIVATION &amp; TRƯNG BÀY</t>
  </si>
  <si>
    <t>Booth/điểm activation riêng</t>
  </si>
  <si>
    <t>Theo mặt bằng và điều kiện địa điểm</t>
  </si>
  <si>
    <t>Vị trí trưng bày xe/sản phẩm kích thước lớn</t>
  </si>
  <si>
    <t>Phải được địa điểm chấp thuận</t>
  </si>
  <si>
    <t>Nhà tài trợ cung cấp đúng quy cách và deadline</t>
  </si>
  <si>
    <t>Tại khu vực được BTC bố trí</t>
  </si>
  <si>
    <t>6. GALA &amp; LỄ TRAO GIẢI</t>
  </si>
  <si>
    <t>Theo cấp hiển thị</t>
  </si>
  <si>
    <t>Theo mốc phù hợp trong kịch bản Gala</t>
  </si>
  <si>
    <t>Theo cơ cấu giải và run-of-show</t>
  </si>
  <si>
    <t>Slot ngắn; nội dung được BTC duyệt</t>
  </si>
  <si>
    <t>Theo chuẩn file và thời lượng BTC quy định</t>
  </si>
  <si>
    <t>7. TRUYỀN THÔNG BÁO LAO ĐỘNG</t>
  </si>
  <si>
    <t>Nội dung thương mại theo quy định của Báo</t>
  </si>
  <si>
    <t>01 vị trí-tuần</t>
  </si>
  <si>
    <t>02 vị trí-tuần</t>
  </si>
  <si>
    <t>04 vị trí-tuần</t>
  </si>
  <si>
    <t>Vị trí và lịch chạy theo inventory thực tế</t>
  </si>
  <si>
    <t>Theo kế hoạch nội dung và nền tảng phù hợp</t>
  </si>
  <si>
    <t>Theo format video cuối cùng</t>
  </si>
  <si>
    <t>Chỉ áp dụng khi kế hoạch ấn phẩm được phê duyệt</t>
  </si>
  <si>
    <t>Bộ ảnh/video hậu sự kiện dành cho Nhà tài trợ</t>
  </si>
  <si>
    <t>01 bộ</t>
  </si>
  <si>
    <t>Tư liệu chọn lọc; phạm vi sử dụng theo thỏa thuận</t>
  </si>
  <si>
    <t>LƯU Ý ÁP DỤNG</t>
  </si>
  <si>
    <t>• Quyền lợi Hole-in-One và các giải kỹ thuật được xây dựng theo gói tài trợ chuyên biệt, không mặc định cộng vào các gói trên.</t>
  </si>
  <si>
    <t>• Bài PR/Advertorial, banner và nội dung thương mại được triển khai theo quy định của Báo Lao Động; hoạt động đưa tin biên tập về giải tuân thủ nguyên tắc nghiệp vụ của Báo.</t>
  </si>
  <si>
    <t>• Các vị trí tại sân, khu check-in, activation và Gala được triển khai theo layout, điều kiện địa điểm và kế hoạch tổ chức cuối cùng.</t>
  </si>
  <si>
    <t>• Trường hợp một hạng mục không thể triển khai vì điều kiện khách quan, Ban Tổ chức và Nhà tài trợ thống nhất quyền lợi thay thế có giá trị tương đương.</t>
  </si>
  <si>
    <t>MA TRẬN PHÂN BỔ QUYỀN LỢI THEO 06 GÓI – NỘI BỘ</t>
  </si>
  <si>
    <t>Số lượng tại các cột gói là quyền lợi cấp cho 01 Nhà tài trợ. Dòng Max NTT dùng để kiểm tra tổng tiêu hao kho khi bán đủ cơ cấu đề xuất.</t>
  </si>
  <si>
    <t>Tổng dùng nếu bán đủ</t>
  </si>
  <si>
    <t>Max NTT</t>
  </si>
  <si>
    <t>KIỂM TRA SỨC CHỨA QUYỀN LỢI – CƠ CẤU 06 GÓI</t>
  </si>
  <si>
    <t>Mục tiêu: nếu bán đủ số Nhà tài trợ tối đa khuyến nghị ở từng gói, tổng quyền lợi vẫn không vượt Cap áp dụng hiện tại. Cap FINAL cần tiếp tục khóa trước khi ký hợp đồng.</t>
  </si>
  <si>
    <t>Tổng dùng theo 06 gói</t>
  </si>
  <si>
    <t>% sử dụng</t>
  </si>
  <si>
    <t>Rủi ro</t>
  </si>
  <si>
    <t>Hành động</t>
  </si>
  <si>
    <t>Dùng hết/tiệm cận cap khi bán đủ</t>
  </si>
  <si>
    <t>Không tăng số NTT tối đa nếu chưa mở thêm inventory</t>
  </si>
  <si>
    <t>Kiểm soát theo cap</t>
  </si>
  <si>
    <t>Theo dõi sheet phân bổ khi có NTT thực tế</t>
  </si>
  <si>
    <t>Asset khan hiếm</t>
  </si>
  <si>
    <t>Khóa layout/run-of-show/kế hoạch media trước khi ký</t>
  </si>
  <si>
    <t>Không nằm trong gói cơ sở</t>
  </si>
  <si>
    <t>Bán chuyên biệt; kiểm tra riêng khi chốt NTT HIO/giải kỹ thuật</t>
  </si>
  <si>
    <t>Ngưỡng/giải thích</t>
  </si>
  <si>
    <t>Kết luận</t>
  </si>
  <si>
    <t>Số NTT tối đa theo cơ cấu</t>
  </si>
  <si>
    <t>12 NTT</t>
  </si>
  <si>
    <t>Phù hợp cap logo chung hiện tại</t>
  </si>
  <si>
    <t>Doanh thu tối đa 06 gói</t>
  </si>
  <si>
    <t>Chưa gồm HIO/giải kỹ thuật</t>
  </si>
  <si>
    <t>Cơ cấu doanh thu dự kiến</t>
  </si>
  <si>
    <t>Asset vượt cap</t>
  </si>
  <si>
    <t>Mục tiêu = 0</t>
  </si>
  <si>
    <t>Phải bằng 0 trước khi phát hành bảng gói</t>
  </si>
  <si>
    <t>Asset dùng hết cap</t>
  </si>
  <si>
    <t>Cần kiểm soát chặt</t>
  </si>
  <si>
    <t>Không tăng NTT nếu chưa mở thêm inventory</t>
  </si>
  <si>
    <t>CÂN ĐỐI NỘI BỘ – DOANH THU TÀI TRỢ &amp; CHI PHÍ TRẢ QUYỀN LỢI</t>
  </si>
  <si>
    <t>Chi phí thực hiện chỉ có ý nghĩa sau khi nhập đơn giá tại cột “CP thực hiện/đơn vị” trong sheet 02_Asset_Master. Không dùng bảng này làm báo giá đối ngoại.</t>
  </si>
  <si>
    <t>Mã gói</t>
  </si>
  <si>
    <t>Tên gói</t>
  </si>
  <si>
    <t>Mức tài trợ/NTT</t>
  </si>
  <si>
    <t>Doanh thu tối đa</t>
  </si>
  <si>
    <t>CP trả QL/01 NTT</t>
  </si>
  <si>
    <t>CP trả QL khi bán đủ</t>
  </si>
  <si>
    <t>CP/Doanh thu</t>
  </si>
  <si>
    <t>Doanh thu sau CP trực tiếp</t>
  </si>
  <si>
    <t>G50</t>
  </si>
  <si>
    <t>Ngưỡng quản trị tham khảo: CP trực tiếp ≤25% doanh thu tài trợ</t>
  </si>
  <si>
    <t>G100</t>
  </si>
  <si>
    <t>G200</t>
  </si>
  <si>
    <t>G300</t>
  </si>
  <si>
    <t>G500</t>
  </si>
  <si>
    <t>G1000</t>
  </si>
  <si>
    <t>TỔNG</t>
  </si>
  <si>
    <t>Gói</t>
  </si>
  <si>
    <t>Vai trò trong cấu trúc</t>
  </si>
  <si>
    <t>Lý do nâng cấp</t>
  </si>
  <si>
    <t>Quyền lợi tạo khác biệt</t>
  </si>
  <si>
    <t>Không nên hứa thêm</t>
  </si>
  <si>
    <t>Gợi ý bán hàng</t>
  </si>
  <si>
    <t>ĐỒNG HÀNH 50M</t>
  </si>
  <si>
    <t>Hiện diện chính thức</t>
  </si>
  <si>
    <t>Bước vào hệ sinh thái giải với chi phí thấp</t>
  </si>
  <si>
    <t>Nhận diện chung + Gala + 01 social</t>
  </si>
  <si>
    <t>Không golfer, không PR/banner riêng</t>
  </si>
  <si>
    <t>Phù hợp doanh nghiệp cần hiện diện và networking cơ bản</t>
  </si>
  <si>
    <t>BẠC 100M</t>
  </si>
  <si>
    <t>Bắt đầu có trải nghiệm giải</t>
  </si>
  <si>
    <t>Có suất golfer và check-in visibility</t>
  </si>
  <si>
    <t>01 golfer + photo wall + tài liệu sự kiện</t>
  </si>
  <si>
    <t>Chưa mở hố, booth, PR/banner</t>
  </si>
  <si>
    <t>Phù hợp doanh nghiệp muốn tham gia thực tế nhưng ngân sách vừa</t>
  </si>
  <si>
    <t>VÀNG 200M</t>
  </si>
  <si>
    <t>Bắt đầu có quyền lợi dedicated</t>
  </si>
  <si>
    <t>Có hố golf, media và nghi thức</t>
  </si>
  <si>
    <t>01 hố + 02 golfer + trao giải + PR + banner</t>
  </si>
  <si>
    <t>Chưa booth/TVC</t>
  </si>
  <si>
    <t>Mốc upsell quan trọng từ hiện diện sang tương tác</t>
  </si>
  <si>
    <t>BẠCH KIM 300M</t>
  </si>
  <si>
    <t>Gói activation</t>
  </si>
  <si>
    <t>Có booth, flight và TVC</t>
  </si>
  <si>
    <t>04 golfer + booth + standee + TVC + báo in nếu có</t>
  </si>
  <si>
    <t>Không trưng bày lớn/sampling</t>
  </si>
  <si>
    <t>Phù hợp thương hiệu muốn tạo trải nghiệm tại sự kiện</t>
  </si>
  <si>
    <t>KIM CƯƠNG 500M</t>
  </si>
  <si>
    <t>Gói premium</t>
  </si>
  <si>
    <t>Tăng hospitality và media</t>
  </si>
  <si>
    <t>08 golfer + trưng bày lớn + sampling + 02 PR + 02 banner-tuần</t>
  </si>
  <si>
    <t>Không phát biểu Gala</t>
  </si>
  <si>
    <t>Phù hợp doanh nghiệp cần hiện diện sâu và tiếp khách</t>
  </si>
  <si>
    <t>NTT CHÍNH 1 TỶ</t>
  </si>
  <si>
    <t>Đồng hành cấp cao nhất</t>
  </si>
  <si>
    <t>Hiện diện xuyên suốt 07 không gian</t>
  </si>
  <si>
    <t>02 hố + phát biểu + 03 PR + 04 banner-tuần + 10 Gala</t>
  </si>
  <si>
    <t>Không độc quyền ngành hàng</t>
  </si>
  <si>
    <t>Tập trung vị thế, nghi thức và truyền thông</t>
  </si>
  <si>
    <t xml:space="preserve">Bài PR/Advertorial Top 1 chuyên mục TTDN Laodong.vn </t>
  </si>
  <si>
    <t>Bài PR/Advertorial mục TTDN trên Laodong.vn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</si>
</sst>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 đ&quot;"/>
    <numFmt numFmtId="165" formatCode="0.0%"/>
  </numFmts>
  <fonts count="21">
    <font>
      <sz val="11"/>
      <name val="Carlito"/>
    </font>
    <font>
      <b/>
      <sz val="15"/>
      <color rgb="FFFFFFFF"/>
      <name val="Carlito"/>
    </font>
    <font>
      <b/>
      <sz val="11"/>
      <color rgb="FFFFFFFF"/>
      <name val="Carlito"/>
    </font>
    <font>
      <b/>
      <sz val="15"/>
      <color rgb="FFFFFFFF"/>
      <name val="Arial"/>
      <family val="2"/>
    </font>
    <font>
      <sz val="11"/>
      <name val="Arial"/>
      <family val="2"/>
    </font>
    <font>
      <b/>
      <sz val="11"/>
      <color rgb="FFFFFFFF"/>
      <name val="Arial"/>
      <family val="2"/>
    </font>
    <font>
      <b/>
      <sz val="14"/>
      <color rgb="FFFFFFFF"/>
      <name val="Carlito"/>
    </font>
    <font>
      <b/>
      <sz val="14"/>
      <color rgb="FFFFFFFF"/>
      <name val="Arial"/>
      <family val="2"/>
    </font>
    <font>
      <i/>
      <sz val="10"/>
      <color rgb="FF334155"/>
      <name val="Arial"/>
      <family val="2"/>
    </font>
    <font>
      <i/>
      <sz val="10"/>
      <color rgb="FF334155"/>
      <name val="Carlito"/>
    </font>
    <font>
      <b/>
      <sz val="9"/>
      <color rgb="FFFFFFFF"/>
      <name val="Arial"/>
      <family val="2"/>
    </font>
    <font>
      <b/>
      <sz val="9"/>
      <color rgb="FFFFFFFF"/>
      <name val="Carlito"/>
    </font>
    <font>
      <b/>
      <sz val="11"/>
      <color rgb="FF1F2937"/>
      <name val="Arial"/>
      <family val="2"/>
    </font>
    <font>
      <sz val="11"/>
      <color rgb="FF375623"/>
      <name val="Arial"/>
      <family val="2"/>
    </font>
    <font>
      <b/>
      <sz val="11"/>
      <color rgb="FF17365D"/>
      <name val="Arial"/>
      <family val="2"/>
    </font>
    <font>
      <i/>
      <sz val="11"/>
      <color rgb="FF334155"/>
      <name val="Carlito"/>
    </font>
    <font>
      <b/>
      <sz val="16"/>
      <color rgb="FFFFFFFF"/>
      <name val="Carlito"/>
    </font>
    <font>
      <i/>
      <sz val="10"/>
      <color rgb="FF666666"/>
      <name val="Carlito"/>
    </font>
    <font>
      <b/>
      <sz val="11"/>
      <color rgb="FF17365D"/>
      <name val="Carlito"/>
    </font>
    <font>
      <i/>
      <sz val="11"/>
      <color rgb="FF666666"/>
      <name val="Carlito"/>
    </font>
    <font>
      <sz val="9"/>
      <color rgb="FF666666"/>
      <name val="Carlito"/>
    </font>
  </fonts>
  <fills count="22">
    <fill>
      <patternFill patternType="none"/>
    </fill>
    <fill>
      <patternFill patternType="gray125"/>
    </fill>
    <fill>
      <patternFill patternType="solid">
        <fgColor rgb="FF17365D"/>
      </patternFill>
    </fill>
    <fill>
      <patternFill patternType="solid">
        <fgColor rgb="FF2F75B5"/>
      </patternFill>
    </fill>
    <fill>
      <patternFill patternType="solid">
        <fgColor rgb="FFFFF2CC"/>
      </patternFill>
    </fill>
    <fill>
      <patternFill patternType="solid">
        <fgColor rgb="FFEAF2F8"/>
      </patternFill>
    </fill>
    <fill>
      <patternFill patternType="solid">
        <fgColor rgb="FFF2F2F2"/>
      </patternFill>
    </fill>
    <fill>
      <patternFill patternType="solid">
        <fgColor rgb="FFFFF7E6"/>
      </patternFill>
    </fill>
    <fill>
      <patternFill patternType="solid">
        <fgColor rgb="FF17365D"/>
      </patternFill>
    </fill>
    <fill>
      <patternFill patternType="solid">
        <fgColor rgb="FFEAF0F7"/>
      </patternFill>
    </fill>
    <fill>
      <patternFill patternType="solid">
        <fgColor rgb="FF1F4E78"/>
      </patternFill>
    </fill>
    <fill>
      <patternFill patternType="solid">
        <fgColor rgb="FFFFF2CC"/>
      </patternFill>
    </fill>
    <fill>
      <patternFill patternType="solid">
        <fgColor rgb="FFC6E0B4"/>
      </patternFill>
    </fill>
    <fill>
      <patternFill patternType="solid">
        <fgColor rgb="FFE2F0D9"/>
      </patternFill>
    </fill>
    <fill>
      <patternFill patternType="solid">
        <fgColor rgb="FFD9EAF7"/>
      </patternFill>
    </fill>
    <fill>
      <patternFill patternType="solid">
        <fgColor rgb="FF17365D"/>
      </patternFill>
    </fill>
    <fill>
      <patternFill patternType="solid">
        <fgColor rgb="FFF4F7FA"/>
      </patternFill>
    </fill>
    <fill>
      <patternFill patternType="solid">
        <fgColor rgb="FF2F5597"/>
      </patternFill>
    </fill>
    <fill>
      <patternFill patternType="solid">
        <fgColor rgb="FFD9EAF7"/>
      </patternFill>
    </fill>
    <fill>
      <patternFill patternType="solid">
        <fgColor rgb="FFEDF3F9"/>
      </patternFill>
    </fill>
    <fill>
      <patternFill patternType="solid">
        <fgColor rgb="FFEEF4FA"/>
      </patternFill>
    </fill>
    <fill>
      <patternFill patternType="solid">
        <fgColor rgb="FFFFF2CC"/>
      </patternFill>
    </fill>
  </fills>
  <borders count="1">
    <border>
      <left/>
      <right/>
      <top/>
      <bottom/>
      <diagonal/>
    </border>
  </borders>
  <cellStyleXfs count="1">
    <xf numFmtId="0" fontId="0" fillId="0" borderId="0"/>
  </cellStyleXfs>
  <cellXfs count="86">
    <xf numFmtId="0" fontId="0" fillId="0" borderId="0" xfId="0"/>
    <xf numFmtId="0" fontId="0" fillId="0" borderId="0" xfId="0" applyAlignment="1">
      <alignment wrapText="1"/>
    </xf>
    <xf numFmtId="0" fontId="0" fillId="0" borderId="0" xfId="0" applyAlignment="1">
      <alignment vertical="top" wrapText="1"/>
    </xf>
    <xf numFmtId="0" fontId="4" fillId="0" borderId="0" xfId="0" applyFont="1"/>
    <xf numFmtId="0" fontId="4" fillId="0" borderId="0" xfId="0" applyFont="1" applyAlignment="1">
      <alignment vertical="top" wrapText="1"/>
    </xf>
    <xf numFmtId="0" fontId="4" fillId="0" borderId="0" xfId="0" applyFont="1" applyAlignment="1">
      <alignment wrapText="1"/>
    </xf>
    <xf numFmtId="0" fontId="4" fillId="0" borderId="0" xfId="0" applyFont="1" applyAlignment="1">
      <alignment vertical="center"/>
    </xf>
    <xf numFmtId="0" fontId="4" fillId="0" borderId="0" xfId="0" applyFont="1" applyAlignment="1">
      <alignment vertical="center" wrapText="1"/>
    </xf>
    <xf numFmtId="0" fontId="5" fillId="3" borderId="0" xfId="0" applyFont="1" applyFill="1" applyAlignment="1">
      <alignment horizontal="center" wrapText="1"/>
    </xf>
    <xf numFmtId="0" fontId="4" fillId="4" borderId="0" xfId="0" applyFont="1" applyFill="1" applyAlignment="1">
      <alignment wrapText="1"/>
    </xf>
    <xf numFmtId="0" fontId="4" fillId="6"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horizontal="center" wrapText="1"/>
    </xf>
    <xf numFmtId="0" fontId="4" fillId="6" borderId="0" xfId="0" applyFont="1" applyFill="1" applyAlignment="1">
      <alignment horizontal="center" wrapText="1"/>
    </xf>
    <xf numFmtId="0" fontId="4" fillId="0" borderId="0" xfId="0" applyFont="1" applyAlignment="1">
      <alignment horizontal="center"/>
    </xf>
    <xf numFmtId="9" fontId="4" fillId="0" borderId="0" xfId="0" applyNumberFormat="1" applyFont="1"/>
    <xf numFmtId="0" fontId="5" fillId="2" borderId="0" xfId="0" applyFont="1" applyFill="1" applyAlignment="1">
      <alignment wrapText="1"/>
    </xf>
    <xf numFmtId="0" fontId="4" fillId="7" borderId="0" xfId="0" applyFont="1" applyFill="1" applyAlignment="1">
      <alignment wrapText="1"/>
    </xf>
    <xf numFmtId="0" fontId="6" fillId="8" borderId="0" xfId="0" applyFont="1" applyFill="1" applyAlignment="1">
      <alignment horizontal="center"/>
    </xf>
    <xf numFmtId="0" fontId="6" fillId="8" borderId="0" xfId="0" applyFont="1" applyFill="1" applyAlignment="1">
      <alignment horizontal="center" vertical="center"/>
    </xf>
    <xf numFmtId="0" fontId="9" fillId="9" borderId="0" xfId="0" applyFont="1" applyFill="1" applyAlignment="1">
      <alignment wrapText="1"/>
    </xf>
    <xf numFmtId="0" fontId="9" fillId="9" borderId="0" xfId="0" applyFont="1" applyFill="1" applyAlignment="1">
      <alignment horizontal="left" vertical="center" wrapText="1"/>
    </xf>
    <xf numFmtId="0" fontId="5" fillId="10" borderId="0" xfId="0" applyFont="1" applyFill="1" applyAlignment="1">
      <alignment horizontal="center" wrapText="1"/>
    </xf>
    <xf numFmtId="0" fontId="10" fillId="10" borderId="0" xfId="0" applyFont="1" applyFill="1" applyAlignment="1">
      <alignment horizontal="center" wrapText="1"/>
    </xf>
    <xf numFmtId="0" fontId="11" fillId="10" borderId="0" xfId="0" applyFont="1" applyFill="1" applyAlignment="1">
      <alignment horizontal="center" wrapText="1"/>
    </xf>
    <xf numFmtId="0" fontId="10" fillId="10" borderId="0" xfId="0" applyFont="1" applyFill="1" applyAlignment="1">
      <alignment horizontal="center" vertical="center" wrapText="1"/>
    </xf>
    <xf numFmtId="0" fontId="11" fillId="10" borderId="0" xfId="0" applyFont="1" applyFill="1" applyAlignment="1">
      <alignment horizontal="center" vertical="center" wrapText="1"/>
    </xf>
    <xf numFmtId="3" fontId="0" fillId="0" borderId="0" xfId="0" applyNumberFormat="1" applyAlignment="1">
      <alignment wrapText="1"/>
    </xf>
    <xf numFmtId="3" fontId="4" fillId="0" borderId="0" xfId="0" applyNumberFormat="1" applyFont="1"/>
    <xf numFmtId="0" fontId="5" fillId="10" borderId="0" xfId="0" applyFont="1" applyFill="1"/>
    <xf numFmtId="9" fontId="5" fillId="10" borderId="0" xfId="0" applyNumberFormat="1" applyFont="1" applyFill="1" applyAlignment="1">
      <alignment horizontal="center" wrapText="1"/>
    </xf>
    <xf numFmtId="0" fontId="5" fillId="10" borderId="0" xfId="0" applyFont="1" applyFill="1" applyAlignment="1">
      <alignment vertical="center" wrapText="1"/>
    </xf>
    <xf numFmtId="0" fontId="5" fillId="2" borderId="0" xfId="0" applyFont="1" applyFill="1" applyAlignment="1">
      <alignment horizontal="center" vertical="center" wrapText="1"/>
    </xf>
    <xf numFmtId="0" fontId="2" fillId="10" borderId="0" xfId="0" applyFont="1" applyFill="1" applyAlignment="1">
      <alignment horizontal="center" wrapText="1"/>
    </xf>
    <xf numFmtId="14" fontId="0" fillId="0" borderId="0" xfId="0" applyNumberFormat="1" applyAlignment="1">
      <alignment wrapText="1"/>
    </xf>
    <xf numFmtId="1" fontId="4" fillId="4" borderId="0" xfId="0" applyNumberFormat="1" applyFont="1" applyFill="1" applyAlignment="1">
      <alignment wrapText="1"/>
    </xf>
    <xf numFmtId="1" fontId="4" fillId="5" borderId="0" xfId="0" applyNumberFormat="1" applyFont="1" applyFill="1" applyAlignment="1">
      <alignment horizontal="center" vertical="top" wrapText="1"/>
    </xf>
    <xf numFmtId="1" fontId="4" fillId="11" borderId="0" xfId="0" applyNumberFormat="1" applyFont="1" applyFill="1" applyAlignment="1">
      <alignment horizontal="center" vertical="top" wrapText="1"/>
    </xf>
    <xf numFmtId="1" fontId="4" fillId="6" borderId="0" xfId="0" applyNumberFormat="1" applyFont="1" applyFill="1" applyAlignment="1">
      <alignment horizontal="center" vertical="top" wrapText="1"/>
    </xf>
    <xf numFmtId="0" fontId="4" fillId="6" borderId="0" xfId="0" applyFont="1" applyFill="1" applyAlignment="1">
      <alignment vertical="top" wrapText="1"/>
    </xf>
    <xf numFmtId="3" fontId="0" fillId="11" borderId="0" xfId="0" applyNumberFormat="1" applyFill="1" applyAlignment="1">
      <alignment vertical="top" wrapText="1"/>
    </xf>
    <xf numFmtId="3" fontId="0" fillId="0" borderId="0" xfId="0" applyNumberFormat="1" applyAlignment="1">
      <alignment vertical="top" wrapText="1"/>
    </xf>
    <xf numFmtId="0" fontId="4" fillId="7" borderId="0" xfId="0" applyFont="1" applyFill="1" applyAlignment="1">
      <alignment vertical="top" wrapText="1"/>
    </xf>
    <xf numFmtId="0" fontId="2" fillId="17" borderId="0" xfId="0" applyFont="1" applyFill="1" applyAlignment="1">
      <alignment horizontal="center" wrapText="1"/>
    </xf>
    <xf numFmtId="0" fontId="2" fillId="17" borderId="0" xfId="0" applyFont="1" applyFill="1" applyAlignment="1">
      <alignment horizontal="center" vertical="center" wrapText="1"/>
    </xf>
    <xf numFmtId="0" fontId="18" fillId="18" borderId="0" xfId="0" applyFont="1" applyFill="1" applyAlignment="1">
      <alignment horizontal="center"/>
    </xf>
    <xf numFmtId="0" fontId="18" fillId="18" borderId="0" xfId="0" applyFont="1" applyFill="1" applyAlignment="1">
      <alignment horizontal="center" vertical="center"/>
    </xf>
    <xf numFmtId="164" fontId="18" fillId="18" borderId="0" xfId="0" applyNumberFormat="1" applyFont="1" applyFill="1" applyAlignment="1">
      <alignment horizontal="center" vertical="center"/>
    </xf>
    <xf numFmtId="0" fontId="19" fillId="19"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20" borderId="0" xfId="0" applyFill="1" applyAlignment="1">
      <alignment vertical="center" wrapText="1"/>
    </xf>
    <xf numFmtId="0" fontId="0" fillId="20" borderId="0" xfId="0" applyFill="1" applyAlignment="1">
      <alignment horizontal="center" vertical="center" wrapText="1"/>
    </xf>
    <xf numFmtId="0" fontId="18" fillId="20" borderId="0" xfId="0" applyFont="1" applyFill="1" applyAlignment="1">
      <alignment vertical="center" wrapText="1"/>
    </xf>
    <xf numFmtId="9" fontId="0" fillId="0" borderId="0" xfId="0" applyNumberFormat="1" applyAlignment="1">
      <alignment horizontal="center" vertical="center" wrapText="1"/>
    </xf>
    <xf numFmtId="0" fontId="2" fillId="15" borderId="0" xfId="0" applyFont="1" applyFill="1" applyAlignment="1">
      <alignment horizontal="center"/>
    </xf>
    <xf numFmtId="164" fontId="0" fillId="0" borderId="0" xfId="0" applyNumberFormat="1" applyAlignment="1">
      <alignment wrapText="1"/>
    </xf>
    <xf numFmtId="164" fontId="0" fillId="0" borderId="0" xfId="0" applyNumberFormat="1" applyAlignment="1">
      <alignment vertical="center" wrapText="1"/>
    </xf>
    <xf numFmtId="165" fontId="0" fillId="0" borderId="0" xfId="0" applyNumberFormat="1" applyAlignment="1">
      <alignment vertical="center" wrapText="1"/>
    </xf>
    <xf numFmtId="0" fontId="18" fillId="18" borderId="0" xfId="0" applyFont="1" applyFill="1" applyAlignment="1">
      <alignment vertical="center" wrapText="1"/>
    </xf>
    <xf numFmtId="164" fontId="18" fillId="18" borderId="0" xfId="0" applyNumberFormat="1" applyFont="1" applyFill="1" applyAlignment="1">
      <alignment vertical="center" wrapText="1"/>
    </xf>
    <xf numFmtId="165" fontId="18" fillId="18" borderId="0" xfId="0" applyNumberFormat="1" applyFont="1" applyFill="1" applyAlignment="1">
      <alignment vertical="center" wrapText="1"/>
    </xf>
    <xf numFmtId="0" fontId="2" fillId="15" borderId="0" xfId="0" applyFont="1" applyFill="1" applyAlignment="1">
      <alignment horizontal="center" wrapText="1"/>
    </xf>
    <xf numFmtId="0" fontId="7" fillId="8" borderId="0" xfId="0" applyFont="1" applyFill="1" applyAlignment="1">
      <alignment horizontal="center" vertical="center" wrapText="1"/>
    </xf>
    <xf numFmtId="0" fontId="3" fillId="2" borderId="0" xfId="0" applyFont="1" applyFill="1" applyAlignment="1">
      <alignment horizontal="center" vertical="center"/>
    </xf>
    <xf numFmtId="0" fontId="14" fillId="14" borderId="0" xfId="0" applyFont="1" applyFill="1" applyAlignment="1">
      <alignment vertical="center" wrapText="1"/>
    </xf>
    <xf numFmtId="0" fontId="5" fillId="3" borderId="0" xfId="0" applyFont="1" applyFill="1" applyAlignment="1">
      <alignment vertical="center"/>
    </xf>
    <xf numFmtId="0" fontId="4" fillId="0" borderId="0" xfId="0" applyFont="1" applyAlignment="1">
      <alignment vertical="center" wrapText="1"/>
    </xf>
    <xf numFmtId="0" fontId="5" fillId="3" borderId="0" xfId="0" applyFont="1" applyFill="1" applyAlignment="1">
      <alignment vertical="center" wrapText="1"/>
    </xf>
    <xf numFmtId="0" fontId="7" fillId="8" borderId="0" xfId="0" applyFont="1" applyFill="1" applyAlignment="1">
      <alignment horizontal="center"/>
    </xf>
    <xf numFmtId="0" fontId="7" fillId="8" borderId="0" xfId="0" applyFont="1" applyFill="1" applyAlignment="1">
      <alignment horizontal="center" vertical="center"/>
    </xf>
    <xf numFmtId="0" fontId="8" fillId="9" borderId="0" xfId="0" applyFont="1" applyFill="1" applyAlignment="1">
      <alignment horizontal="left" vertical="center" wrapText="1"/>
    </xf>
    <xf numFmtId="0" fontId="8" fillId="9" borderId="0" xfId="0" applyFont="1" applyFill="1" applyAlignment="1">
      <alignment wrapText="1"/>
    </xf>
    <xf numFmtId="0" fontId="5" fillId="3" borderId="0" xfId="0" applyFont="1" applyFill="1"/>
    <xf numFmtId="0" fontId="12" fillId="12" borderId="0" xfId="0" applyFont="1" applyFill="1" applyAlignment="1">
      <alignment horizontal="center" vertical="top" wrapText="1"/>
    </xf>
    <xf numFmtId="0" fontId="13" fillId="13" borderId="0" xfId="0" applyFont="1" applyFill="1" applyAlignment="1">
      <alignment vertical="center" wrapText="1"/>
    </xf>
    <xf numFmtId="0" fontId="4" fillId="5" borderId="0" xfId="0" applyFont="1" applyFill="1" applyAlignment="1">
      <alignment vertical="top" wrapText="1"/>
    </xf>
    <xf numFmtId="0" fontId="6" fillId="8" borderId="0" xfId="0" applyFont="1" applyFill="1" applyAlignment="1">
      <alignment horizontal="center"/>
    </xf>
    <xf numFmtId="0" fontId="15" fillId="9" borderId="0" xfId="0" applyFont="1" applyFill="1" applyAlignment="1">
      <alignment wrapText="1"/>
    </xf>
    <xf numFmtId="0" fontId="16" fillId="15" borderId="0" xfId="0" applyFont="1" applyFill="1" applyAlignment="1">
      <alignment horizontal="center" vertical="center"/>
    </xf>
    <xf numFmtId="0" fontId="17" fillId="16" borderId="0" xfId="0" applyFont="1" applyFill="1" applyAlignment="1">
      <alignment horizontal="center" vertical="center" wrapText="1"/>
    </xf>
    <xf numFmtId="0" fontId="2" fillId="15" borderId="0" xfId="0" applyFont="1" applyFill="1" applyAlignment="1">
      <alignment horizontal="left"/>
    </xf>
    <xf numFmtId="0" fontId="20" fillId="0" borderId="0" xfId="0" applyFont="1" applyAlignment="1">
      <alignment wrapText="1"/>
    </xf>
    <xf numFmtId="0" fontId="1" fillId="15" borderId="0" xfId="0" applyFont="1" applyFill="1" applyAlignment="1">
      <alignment horizontal="center"/>
    </xf>
    <xf numFmtId="0" fontId="19" fillId="16" borderId="0" xfId="0" applyFont="1" applyFill="1" applyAlignment="1">
      <alignment horizontal="center" wrapText="1"/>
    </xf>
    <xf numFmtId="0" fontId="19" fillId="21" borderId="0" xfId="0" applyFont="1" applyFill="1" applyAlignment="1">
      <alignment horizontal="center" wrapText="1"/>
    </xf>
  </cellXfs>
  <cellStyles count="1">
    <cellStyle name="Normal" xfId="0" builtinId="0"/>
  </cellStyles>
  <dxfs count="20">
    <dxf>
      <fill>
        <patternFill patternType="solid">
          <bgColor rgb="FFE2F0D9"/>
        </patternFill>
      </fill>
    </dxf>
    <dxf>
      <fill>
        <patternFill patternType="solid">
          <bgColor rgb="FFFFF2CC"/>
        </patternFill>
      </fill>
    </dxf>
    <dxf>
      <font>
        <b/>
      </font>
      <fill>
        <patternFill patternType="solid">
          <bgColor rgb="FFF4CCCC"/>
        </patternFill>
      </fill>
    </dxf>
    <dxf>
      <fill>
        <patternFill patternType="solid">
          <bgColor rgb="FFE2F0D9"/>
        </patternFill>
      </fill>
    </dxf>
    <dxf>
      <font>
        <b/>
      </font>
      <fill>
        <patternFill patternType="solid">
          <bgColor rgb="FFFFF2CC"/>
        </patternFill>
      </fill>
    </dxf>
    <dxf>
      <font>
        <b/>
      </font>
      <fill>
        <patternFill patternType="solid">
          <bgColor rgb="FFF4CCCC"/>
        </patternFill>
      </fill>
    </dxf>
    <dxf>
      <fill>
        <patternFill patternType="solid">
          <bgColor rgb="FFE2F0D9"/>
        </patternFill>
      </fill>
    </dxf>
    <dxf>
      <font>
        <b/>
      </font>
      <fill>
        <patternFill patternType="solid">
          <bgColor rgb="FFFFF2CC"/>
        </patternFill>
      </fill>
    </dxf>
    <dxf>
      <font>
        <b/>
      </font>
      <fill>
        <patternFill patternType="solid">
          <bgColor rgb="FFF4CCCC"/>
        </patternFill>
      </fill>
    </dxf>
    <dxf>
      <font>
        <color rgb="FF1F4E78"/>
      </font>
      <fill>
        <patternFill>
          <bgColor rgb="FFDDEBF7"/>
        </patternFill>
      </fill>
    </dxf>
    <dxf>
      <font>
        <color rgb="FF7F6000"/>
      </font>
      <fill>
        <patternFill>
          <bgColor rgb="FFFFF2CC"/>
        </patternFill>
      </fill>
    </dxf>
    <dxf>
      <font>
        <b/>
        <color rgb="FF375623"/>
      </font>
      <fill>
        <patternFill>
          <bgColor rgb="FFE2F0D9"/>
        </patternFill>
      </fill>
    </dxf>
    <dxf>
      <font>
        <b/>
      </font>
      <fill>
        <patternFill>
          <bgColor rgb="FFF4CCCC"/>
        </patternFill>
      </fill>
    </dxf>
    <dxf>
      <font>
        <color rgb="FF7F6000"/>
      </font>
      <fill>
        <patternFill>
          <bgColor rgb="FFFFF2CC"/>
        </patternFill>
      </fill>
    </dxf>
    <dxf>
      <font>
        <color rgb="FF375623"/>
      </font>
      <fill>
        <patternFill>
          <bgColor rgb="FFE2F0D9"/>
        </patternFill>
      </fill>
    </dxf>
    <dxf>
      <font>
        <b/>
        <color rgb="FFC65911"/>
      </font>
      <fill>
        <patternFill>
          <bgColor rgb="FFFCE4D6"/>
        </patternFill>
      </fill>
    </dxf>
    <dxf>
      <font>
        <b/>
        <color rgb="FF9C0006"/>
      </font>
      <fill>
        <patternFill>
          <bgColor rgb="FFF8CBAD"/>
        </patternFill>
      </fill>
    </dxf>
    <dxf>
      <fill>
        <patternFill>
          <bgColor rgb="FFE2F0D9"/>
        </patternFill>
      </fill>
    </dxf>
    <dxf>
      <font>
        <b/>
      </font>
      <fill>
        <patternFill>
          <bgColor rgb="FFFFF2CC"/>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workbookViewId="0">
      <selection sqref="A1:H1"/>
    </sheetView>
  </sheetViews>
  <sheetFormatPr baseColWidth="10" defaultColWidth="8.83203125" defaultRowHeight="14"/>
  <cols>
    <col min="1" max="1" width="12" customWidth="1"/>
    <col min="2" max="2" width="95" customWidth="1"/>
    <col min="3" max="8" width="4" customWidth="1"/>
  </cols>
  <sheetData>
    <row r="1" spans="1:8" ht="37.25" customHeight="1">
      <c r="A1" s="63" t="s">
        <v>0</v>
      </c>
      <c r="B1" s="63"/>
      <c r="C1" s="64"/>
      <c r="D1" s="64"/>
      <c r="E1" s="64"/>
      <c r="F1" s="64"/>
      <c r="G1" s="64"/>
      <c r="H1" s="64"/>
    </row>
    <row r="2" spans="1:8">
      <c r="A2" s="7"/>
      <c r="B2" s="7"/>
      <c r="C2" s="6"/>
      <c r="D2" s="6"/>
      <c r="E2" s="6"/>
      <c r="F2" s="6"/>
      <c r="G2" s="6"/>
      <c r="H2" s="6"/>
    </row>
    <row r="3" spans="1:8">
      <c r="A3" s="65" t="s">
        <v>1</v>
      </c>
      <c r="B3" s="65"/>
      <c r="C3" s="66"/>
      <c r="D3" s="66"/>
      <c r="E3" s="66"/>
      <c r="F3" s="66"/>
      <c r="G3" s="66"/>
      <c r="H3" s="66"/>
    </row>
    <row r="4" spans="1:8">
      <c r="A4" s="67" t="s">
        <v>2</v>
      </c>
      <c r="B4" s="67"/>
      <c r="C4" s="67"/>
      <c r="D4" s="67"/>
      <c r="E4" s="67"/>
      <c r="F4" s="67"/>
      <c r="G4" s="67"/>
      <c r="H4" s="67"/>
    </row>
    <row r="5" spans="1:8">
      <c r="A5" s="67"/>
      <c r="B5" s="67"/>
      <c r="C5" s="67"/>
      <c r="D5" s="67"/>
      <c r="E5" s="67"/>
      <c r="F5" s="67"/>
      <c r="G5" s="67"/>
      <c r="H5" s="67"/>
    </row>
    <row r="6" spans="1:8">
      <c r="A6" s="67"/>
      <c r="B6" s="67"/>
      <c r="C6" s="67"/>
      <c r="D6" s="67"/>
      <c r="E6" s="67"/>
      <c r="F6" s="67"/>
      <c r="G6" s="67"/>
      <c r="H6" s="67"/>
    </row>
    <row r="7" spans="1:8" ht="15">
      <c r="A7" s="31" t="s">
        <v>3</v>
      </c>
      <c r="B7" s="31" t="s">
        <v>4</v>
      </c>
      <c r="C7" s="6"/>
      <c r="D7" s="6"/>
      <c r="E7" s="6"/>
      <c r="F7" s="6"/>
      <c r="G7" s="6"/>
      <c r="H7" s="6"/>
    </row>
    <row r="8" spans="1:8" ht="15">
      <c r="A8" s="32" t="s">
        <v>5</v>
      </c>
      <c r="B8" s="32" t="s">
        <v>6</v>
      </c>
      <c r="C8" s="6"/>
      <c r="D8" s="6"/>
      <c r="E8" s="6"/>
      <c r="F8" s="6"/>
      <c r="G8" s="6"/>
      <c r="H8" s="6"/>
    </row>
    <row r="9" spans="1:8" ht="15">
      <c r="A9" s="7" t="s">
        <v>7</v>
      </c>
      <c r="B9" s="7" t="s">
        <v>8</v>
      </c>
      <c r="C9" s="6"/>
      <c r="D9" s="6"/>
      <c r="E9" s="6"/>
      <c r="F9" s="6"/>
      <c r="G9" s="6"/>
      <c r="H9" s="6"/>
    </row>
    <row r="10" spans="1:8" ht="15">
      <c r="A10" s="7" t="s">
        <v>9</v>
      </c>
      <c r="B10" s="7" t="s">
        <v>10</v>
      </c>
      <c r="C10" s="6"/>
      <c r="D10" s="6"/>
      <c r="E10" s="6"/>
      <c r="F10" s="6"/>
      <c r="G10" s="6"/>
      <c r="H10" s="6"/>
    </row>
    <row r="11" spans="1:8" ht="15">
      <c r="A11" s="7" t="s">
        <v>11</v>
      </c>
      <c r="B11" s="7" t="s">
        <v>12</v>
      </c>
      <c r="C11" s="6"/>
      <c r="D11" s="6"/>
      <c r="E11" s="6"/>
      <c r="F11" s="6"/>
      <c r="G11" s="6"/>
      <c r="H11" s="6"/>
    </row>
    <row r="12" spans="1:8" ht="30">
      <c r="A12" s="7" t="s">
        <v>13</v>
      </c>
      <c r="B12" s="7" t="s">
        <v>14</v>
      </c>
      <c r="C12" s="6"/>
      <c r="D12" s="6"/>
      <c r="E12" s="6"/>
      <c r="F12" s="6"/>
      <c r="G12" s="6"/>
      <c r="H12" s="6"/>
    </row>
    <row r="13" spans="1:8" ht="15">
      <c r="A13" s="7" t="s">
        <v>15</v>
      </c>
      <c r="B13" s="7" t="s">
        <v>16</v>
      </c>
      <c r="C13" s="6"/>
      <c r="D13" s="6"/>
      <c r="E13" s="6"/>
      <c r="F13" s="6"/>
      <c r="G13" s="6"/>
      <c r="H13" s="6"/>
    </row>
    <row r="14" spans="1:8" ht="30">
      <c r="A14" s="7" t="s">
        <v>17</v>
      </c>
      <c r="B14" s="7" t="s">
        <v>18</v>
      </c>
      <c r="C14" s="6"/>
      <c r="D14" s="6"/>
      <c r="E14" s="6"/>
      <c r="F14" s="6"/>
      <c r="G14" s="6"/>
      <c r="H14" s="6"/>
    </row>
    <row r="15" spans="1:8" ht="15">
      <c r="A15" s="7" t="s">
        <v>19</v>
      </c>
      <c r="B15" s="7" t="s">
        <v>20</v>
      </c>
      <c r="C15" s="6"/>
      <c r="D15" s="6"/>
      <c r="E15" s="6"/>
      <c r="F15" s="6"/>
      <c r="G15" s="6"/>
      <c r="H15" s="6"/>
    </row>
    <row r="16" spans="1:8" ht="30">
      <c r="A16" s="7" t="s">
        <v>21</v>
      </c>
      <c r="B16" s="7" t="s">
        <v>22</v>
      </c>
      <c r="C16" s="6"/>
      <c r="D16" s="6"/>
      <c r="E16" s="6"/>
      <c r="F16" s="6"/>
      <c r="G16" s="6"/>
      <c r="H16" s="6"/>
    </row>
    <row r="17" spans="1:8">
      <c r="A17" s="68" t="s">
        <v>23</v>
      </c>
      <c r="B17" s="68" t="s">
        <v>24</v>
      </c>
      <c r="C17" s="66"/>
      <c r="D17" s="66"/>
      <c r="E17" s="66"/>
      <c r="F17" s="66"/>
      <c r="G17" s="66"/>
      <c r="H17" s="66"/>
    </row>
    <row r="18" spans="1:8">
      <c r="A18" s="7"/>
      <c r="B18" s="7"/>
      <c r="C18" s="6"/>
      <c r="D18" s="6"/>
      <c r="E18" s="6"/>
      <c r="F18" s="6"/>
      <c r="G18" s="6"/>
      <c r="H18" s="6"/>
    </row>
    <row r="19" spans="1:8">
      <c r="A19" s="65" t="s">
        <v>25</v>
      </c>
      <c r="B19" s="65"/>
      <c r="C19" s="6"/>
      <c r="D19" s="6"/>
      <c r="E19" s="6"/>
      <c r="F19" s="6"/>
      <c r="G19" s="6"/>
      <c r="H19" s="6"/>
    </row>
    <row r="20" spans="1:8" ht="15">
      <c r="A20" s="7" t="s">
        <v>5</v>
      </c>
      <c r="B20" s="7" t="s">
        <v>26</v>
      </c>
      <c r="C20" s="6"/>
      <c r="D20" s="6"/>
      <c r="E20" s="6"/>
      <c r="F20" s="6"/>
      <c r="G20" s="6"/>
      <c r="H20" s="6"/>
    </row>
    <row r="21" spans="1:8" ht="15">
      <c r="A21" s="7" t="s">
        <v>7</v>
      </c>
      <c r="B21" s="7" t="s">
        <v>27</v>
      </c>
      <c r="C21" s="6"/>
      <c r="D21" s="6"/>
      <c r="E21" s="6"/>
      <c r="F21" s="6"/>
      <c r="G21" s="6"/>
      <c r="H21" s="6"/>
    </row>
    <row r="22" spans="1:8" ht="15">
      <c r="A22" s="7" t="s">
        <v>9</v>
      </c>
      <c r="B22" s="7" t="s">
        <v>28</v>
      </c>
      <c r="C22" s="6"/>
      <c r="D22" s="6"/>
      <c r="E22" s="6"/>
      <c r="F22" s="6"/>
      <c r="G22" s="6"/>
      <c r="H22" s="6"/>
    </row>
    <row r="23" spans="1:8" ht="30">
      <c r="A23" s="1" t="s">
        <v>11</v>
      </c>
      <c r="B23" s="1" t="s">
        <v>29</v>
      </c>
    </row>
    <row r="24" spans="1:8" ht="15">
      <c r="A24" s="1" t="s">
        <v>13</v>
      </c>
      <c r="B24" s="1" t="s">
        <v>30</v>
      </c>
    </row>
    <row r="25" spans="1:8" ht="15">
      <c r="A25" s="1" t="s">
        <v>15</v>
      </c>
      <c r="B25" s="1" t="s">
        <v>31</v>
      </c>
    </row>
  </sheetData>
  <mergeCells count="5">
    <mergeCell ref="A1:H1"/>
    <mergeCell ref="A3:H3"/>
    <mergeCell ref="A4:H6"/>
    <mergeCell ref="A17:H17"/>
    <mergeCell ref="A19:B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sqref="A1:D1"/>
    </sheetView>
  </sheetViews>
  <sheetFormatPr baseColWidth="10" defaultColWidth="8.83203125" defaultRowHeight="14"/>
  <cols>
    <col min="1" max="1" width="10" customWidth="1"/>
    <col min="2" max="2" width="34" customWidth="1"/>
    <col min="3" max="3" width="18" customWidth="1"/>
    <col min="4" max="4" width="60" customWidth="1"/>
  </cols>
  <sheetData>
    <row r="1" spans="1:4" ht="34.75" customHeight="1">
      <c r="A1" s="69" t="s">
        <v>32</v>
      </c>
      <c r="B1" s="69"/>
      <c r="C1" s="69"/>
      <c r="D1" s="69"/>
    </row>
    <row r="2" spans="1:4">
      <c r="A2" s="3"/>
      <c r="B2" s="3"/>
      <c r="C2" s="3"/>
      <c r="D2" s="3"/>
    </row>
    <row r="3" spans="1:4" ht="30">
      <c r="A3" s="22" t="s">
        <v>33</v>
      </c>
      <c r="B3" s="22" t="s">
        <v>34</v>
      </c>
      <c r="C3" s="22" t="s">
        <v>35</v>
      </c>
      <c r="D3" s="22" t="s">
        <v>36</v>
      </c>
    </row>
    <row r="4" spans="1:4" ht="15">
      <c r="A4" s="5" t="s">
        <v>37</v>
      </c>
      <c r="B4" s="5" t="s">
        <v>38</v>
      </c>
      <c r="C4" s="5">
        <v>3</v>
      </c>
      <c r="D4" s="5" t="s">
        <v>39</v>
      </c>
    </row>
    <row r="5" spans="1:4" ht="15">
      <c r="A5" s="5" t="s">
        <v>40</v>
      </c>
      <c r="B5" s="5" t="s">
        <v>41</v>
      </c>
      <c r="C5" s="5">
        <v>2</v>
      </c>
      <c r="D5" s="5" t="s">
        <v>42</v>
      </c>
    </row>
    <row r="6" spans="1:4" ht="15">
      <c r="A6" s="5" t="s">
        <v>43</v>
      </c>
      <c r="B6" s="5" t="s">
        <v>44</v>
      </c>
      <c r="C6" s="5">
        <v>3</v>
      </c>
      <c r="D6" s="5" t="s">
        <v>45</v>
      </c>
    </row>
    <row r="7" spans="1:4" ht="30">
      <c r="A7" s="5" t="s">
        <v>46</v>
      </c>
      <c r="B7" s="5" t="s">
        <v>47</v>
      </c>
      <c r="C7" s="5">
        <v>2</v>
      </c>
      <c r="D7" s="5" t="s">
        <v>48</v>
      </c>
    </row>
    <row r="8" spans="1:4" ht="15">
      <c r="A8" s="5" t="s">
        <v>49</v>
      </c>
      <c r="B8" s="5" t="s">
        <v>50</v>
      </c>
      <c r="C8" s="5">
        <v>4</v>
      </c>
      <c r="D8" s="5" t="s">
        <v>51</v>
      </c>
    </row>
    <row r="9" spans="1:4" ht="30">
      <c r="A9" s="5" t="s">
        <v>52</v>
      </c>
      <c r="B9" s="5" t="s">
        <v>53</v>
      </c>
      <c r="C9" s="5">
        <v>5</v>
      </c>
      <c r="D9" s="5" t="s">
        <v>54</v>
      </c>
    </row>
    <row r="10" spans="1:4" ht="30">
      <c r="A10" s="5" t="s">
        <v>55</v>
      </c>
      <c r="B10" s="5" t="s">
        <v>56</v>
      </c>
      <c r="C10" s="5">
        <v>6</v>
      </c>
      <c r="D10" s="5" t="s">
        <v>57</v>
      </c>
    </row>
    <row r="11" spans="1:4">
      <c r="A11" s="3"/>
      <c r="B11" s="3"/>
      <c r="C11" s="3"/>
      <c r="D11" s="3"/>
    </row>
    <row r="12" spans="1:4">
      <c r="A12" s="3"/>
      <c r="B12" s="3"/>
      <c r="C12" s="3"/>
      <c r="D12" s="3"/>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1"/>
  <sheetViews>
    <sheetView topLeftCell="A8" workbookViewId="0">
      <selection sqref="A1:S1"/>
    </sheetView>
  </sheetViews>
  <sheetFormatPr baseColWidth="10" defaultColWidth="8.83203125" defaultRowHeight="14"/>
  <cols>
    <col min="1" max="1" width="9" customWidth="1"/>
    <col min="2" max="2" width="8" customWidth="1"/>
    <col min="3" max="3" width="24" customWidth="1"/>
    <col min="4" max="4" width="30" customWidth="1"/>
    <col min="5" max="5" width="36" customWidth="1"/>
    <col min="6" max="6" width="13" customWidth="1"/>
    <col min="7" max="7" width="11" customWidth="1"/>
    <col min="8" max="8" width="12" customWidth="1"/>
    <col min="9" max="9" width="11" customWidth="1"/>
    <col min="10" max="10" width="12" customWidth="1"/>
    <col min="11" max="11" width="11" customWidth="1"/>
    <col min="12" max="12" width="10" customWidth="1"/>
    <col min="13" max="13" width="13" customWidth="1"/>
    <col min="14" max="14" width="11" customWidth="1"/>
    <col min="15" max="15" width="12" customWidth="1"/>
    <col min="16" max="16" width="18" customWidth="1"/>
    <col min="17" max="17" width="24" customWidth="1"/>
    <col min="18" max="18" width="36" customWidth="1"/>
    <col min="19" max="19" width="38" customWidth="1"/>
    <col min="20" max="20" width="16" customWidth="1"/>
    <col min="21" max="21" width="24" customWidth="1"/>
    <col min="22" max="22" width="36" customWidth="1"/>
    <col min="23" max="23" width="18" customWidth="1"/>
  </cols>
  <sheetData>
    <row r="1" spans="1:23" ht="34.75" customHeight="1">
      <c r="A1" s="70" t="s">
        <v>58</v>
      </c>
      <c r="B1" s="70"/>
      <c r="C1" s="70"/>
      <c r="D1" s="70"/>
      <c r="E1" s="70"/>
      <c r="F1" s="70"/>
      <c r="G1" s="70"/>
      <c r="H1" s="70"/>
      <c r="I1" s="70"/>
      <c r="J1" s="70"/>
      <c r="K1" s="70"/>
      <c r="L1" s="70"/>
      <c r="M1" s="70"/>
      <c r="N1" s="70"/>
      <c r="O1" s="70"/>
      <c r="P1" s="70"/>
      <c r="Q1" s="70"/>
      <c r="R1" s="70"/>
      <c r="S1" s="70"/>
      <c r="T1" s="19"/>
      <c r="U1" s="19"/>
      <c r="V1" s="19"/>
      <c r="W1" s="19"/>
    </row>
    <row r="2" spans="1:23">
      <c r="A2" s="71" t="s">
        <v>59</v>
      </c>
      <c r="B2" s="71"/>
      <c r="C2" s="71"/>
      <c r="D2" s="71"/>
      <c r="E2" s="71"/>
      <c r="F2" s="71"/>
      <c r="G2" s="71"/>
      <c r="H2" s="71"/>
      <c r="I2" s="71"/>
      <c r="J2" s="71"/>
      <c r="K2" s="71"/>
      <c r="L2" s="71"/>
      <c r="M2" s="71"/>
      <c r="N2" s="71"/>
      <c r="O2" s="71"/>
      <c r="P2" s="71"/>
      <c r="Q2" s="71"/>
      <c r="R2" s="71"/>
      <c r="S2" s="71"/>
      <c r="T2" s="21"/>
      <c r="U2" s="21"/>
      <c r="V2" s="21"/>
      <c r="W2" s="21"/>
    </row>
    <row r="3" spans="1:23">
      <c r="A3" s="3"/>
      <c r="B3" s="3"/>
      <c r="C3" s="3"/>
      <c r="D3" s="3"/>
      <c r="E3" s="3"/>
      <c r="F3" s="3"/>
      <c r="G3" s="3"/>
      <c r="H3" s="3"/>
      <c r="I3" s="3"/>
      <c r="J3" s="3"/>
      <c r="K3" s="3"/>
      <c r="L3" s="3"/>
      <c r="M3" s="3"/>
      <c r="N3" s="3"/>
      <c r="O3" s="3"/>
      <c r="P3" s="3"/>
      <c r="Q3" s="3"/>
      <c r="R3" s="3"/>
      <c r="S3" s="3"/>
    </row>
    <row r="4" spans="1:23" ht="42.75" customHeight="1">
      <c r="A4" s="25" t="s">
        <v>60</v>
      </c>
      <c r="B4" s="25" t="s">
        <v>33</v>
      </c>
      <c r="C4" s="25" t="s">
        <v>34</v>
      </c>
      <c r="D4" s="25" t="s">
        <v>61</v>
      </c>
      <c r="E4" s="25" t="s">
        <v>62</v>
      </c>
      <c r="F4" s="25" t="s">
        <v>63</v>
      </c>
      <c r="G4" s="25" t="s">
        <v>64</v>
      </c>
      <c r="H4" s="25" t="s">
        <v>65</v>
      </c>
      <c r="I4" s="25" t="s">
        <v>66</v>
      </c>
      <c r="J4" s="25" t="s">
        <v>67</v>
      </c>
      <c r="K4" s="25" t="s">
        <v>68</v>
      </c>
      <c r="L4" s="25" t="s">
        <v>69</v>
      </c>
      <c r="M4" s="25" t="s">
        <v>70</v>
      </c>
      <c r="N4" s="25" t="s">
        <v>71</v>
      </c>
      <c r="O4" s="25" t="s">
        <v>72</v>
      </c>
      <c r="P4" s="25" t="s">
        <v>73</v>
      </c>
      <c r="Q4" s="25" t="s">
        <v>74</v>
      </c>
      <c r="R4" s="25" t="s">
        <v>75</v>
      </c>
      <c r="S4" s="25" t="s">
        <v>76</v>
      </c>
      <c r="T4" s="26" t="s">
        <v>77</v>
      </c>
      <c r="U4" s="26" t="s">
        <v>78</v>
      </c>
      <c r="V4" s="26" t="s">
        <v>79</v>
      </c>
      <c r="W4" s="26" t="s">
        <v>80</v>
      </c>
    </row>
    <row r="5" spans="1:23" ht="45">
      <c r="A5" s="4" t="s">
        <v>81</v>
      </c>
      <c r="B5" s="4" t="s">
        <v>37</v>
      </c>
      <c r="C5" s="4" t="s">
        <v>38</v>
      </c>
      <c r="D5" s="4" t="s">
        <v>82</v>
      </c>
      <c r="E5" s="4" t="s">
        <v>83</v>
      </c>
      <c r="F5" s="4" t="s">
        <v>84</v>
      </c>
      <c r="G5" s="36">
        <v>12</v>
      </c>
      <c r="H5" s="37"/>
      <c r="I5" s="38">
        <f t="shared" ref="I5:I29" si="0">IF(H5="",G5,H5)</f>
        <v>12</v>
      </c>
      <c r="J5" s="37">
        <v>0</v>
      </c>
      <c r="K5" s="38">
        <f>SUMIFS('03_Phan_bo'!$D$5:$D$204,'03_Phan_bo'!$C$5:$C$204,A5,'03_Phan_bo'!$I$5:$I$204,"&lt;&gt;Hủy")</f>
        <v>0</v>
      </c>
      <c r="L5" s="38">
        <f t="shared" ref="L5:L29" si="1">I5-J5-K5</f>
        <v>12</v>
      </c>
      <c r="M5" s="39" t="str">
        <f t="shared" ref="M5:M29" si="2">IF(H5="","CHƯA KHÓA",IF(L5&lt;0,"VƯỢT CAP",IF(L5=0,"HẾT","CÒN")))</f>
        <v>CHƯA KHÓA</v>
      </c>
      <c r="N5" s="4" t="s">
        <v>85</v>
      </c>
      <c r="O5" s="4" t="s">
        <v>86</v>
      </c>
      <c r="P5" s="4" t="s">
        <v>87</v>
      </c>
      <c r="Q5" s="4" t="s">
        <v>88</v>
      </c>
      <c r="R5" s="4" t="s">
        <v>89</v>
      </c>
      <c r="S5" s="4" t="s">
        <v>90</v>
      </c>
      <c r="T5" s="40"/>
      <c r="U5" s="2" t="s">
        <v>91</v>
      </c>
      <c r="V5" s="2" t="s">
        <v>92</v>
      </c>
      <c r="W5" s="41" t="str">
        <f t="shared" ref="W5:W29" si="3">IF(T5="","",K5*T5)</f>
        <v/>
      </c>
    </row>
    <row r="6" spans="1:23" ht="30">
      <c r="A6" s="4" t="s">
        <v>93</v>
      </c>
      <c r="B6" s="4" t="s">
        <v>37</v>
      </c>
      <c r="C6" s="4" t="s">
        <v>38</v>
      </c>
      <c r="D6" s="4" t="s">
        <v>94</v>
      </c>
      <c r="E6" s="4" t="s">
        <v>95</v>
      </c>
      <c r="F6" s="4" t="s">
        <v>84</v>
      </c>
      <c r="G6" s="36">
        <v>12</v>
      </c>
      <c r="H6" s="37"/>
      <c r="I6" s="38">
        <f t="shared" si="0"/>
        <v>12</v>
      </c>
      <c r="J6" s="37">
        <v>0</v>
      </c>
      <c r="K6" s="38">
        <f>SUMIFS('03_Phan_bo'!$D$5:$D$204,'03_Phan_bo'!$C$5:$C$204,A6,'03_Phan_bo'!$I$5:$I$204,"&lt;&gt;Hủy")</f>
        <v>0</v>
      </c>
      <c r="L6" s="38">
        <f t="shared" si="1"/>
        <v>12</v>
      </c>
      <c r="M6" s="39" t="str">
        <f t="shared" si="2"/>
        <v>CHƯA KHÓA</v>
      </c>
      <c r="N6" s="4" t="s">
        <v>85</v>
      </c>
      <c r="O6" s="4" t="s">
        <v>86</v>
      </c>
      <c r="P6" s="4" t="s">
        <v>87</v>
      </c>
      <c r="Q6" s="4" t="s">
        <v>96</v>
      </c>
      <c r="R6" s="4" t="s">
        <v>97</v>
      </c>
      <c r="S6" s="4" t="s">
        <v>98</v>
      </c>
      <c r="T6" s="40"/>
      <c r="U6" s="2" t="s">
        <v>91</v>
      </c>
      <c r="V6" s="2" t="s">
        <v>99</v>
      </c>
      <c r="W6" s="41" t="str">
        <f t="shared" si="3"/>
        <v/>
      </c>
    </row>
    <row r="7" spans="1:23" ht="30">
      <c r="A7" s="4" t="s">
        <v>100</v>
      </c>
      <c r="B7" s="4" t="s">
        <v>37</v>
      </c>
      <c r="C7" s="4" t="s">
        <v>38</v>
      </c>
      <c r="D7" s="4" t="s">
        <v>101</v>
      </c>
      <c r="E7" s="4" t="s">
        <v>102</v>
      </c>
      <c r="F7" s="4" t="s">
        <v>84</v>
      </c>
      <c r="G7" s="36">
        <v>10</v>
      </c>
      <c r="H7" s="37"/>
      <c r="I7" s="38">
        <f t="shared" si="0"/>
        <v>10</v>
      </c>
      <c r="J7" s="37">
        <v>0</v>
      </c>
      <c r="K7" s="38">
        <f>SUMIFS('03_Phan_bo'!$D$5:$D$204,'03_Phan_bo'!$C$5:$C$204,A7,'03_Phan_bo'!$I$5:$I$204,"&lt;&gt;Hủy")</f>
        <v>0</v>
      </c>
      <c r="L7" s="38">
        <f t="shared" si="1"/>
        <v>10</v>
      </c>
      <c r="M7" s="39" t="str">
        <f t="shared" si="2"/>
        <v>CHƯA KHÓA</v>
      </c>
      <c r="N7" s="4" t="s">
        <v>85</v>
      </c>
      <c r="O7" s="4" t="s">
        <v>86</v>
      </c>
      <c r="P7" s="4" t="s">
        <v>87</v>
      </c>
      <c r="Q7" s="4" t="s">
        <v>103</v>
      </c>
      <c r="R7" s="4" t="s">
        <v>104</v>
      </c>
      <c r="S7" s="4" t="s">
        <v>105</v>
      </c>
      <c r="T7" s="40"/>
      <c r="U7" s="2" t="s">
        <v>91</v>
      </c>
      <c r="V7" s="2" t="s">
        <v>106</v>
      </c>
      <c r="W7" s="41" t="str">
        <f t="shared" si="3"/>
        <v/>
      </c>
    </row>
    <row r="8" spans="1:23" ht="30">
      <c r="A8" s="4" t="s">
        <v>107</v>
      </c>
      <c r="B8" s="4" t="s">
        <v>40</v>
      </c>
      <c r="C8" s="4" t="s">
        <v>41</v>
      </c>
      <c r="D8" s="4" t="s">
        <v>108</v>
      </c>
      <c r="E8" s="4" t="s">
        <v>109</v>
      </c>
      <c r="F8" s="4" t="s">
        <v>84</v>
      </c>
      <c r="G8" s="36">
        <v>10</v>
      </c>
      <c r="H8" s="37"/>
      <c r="I8" s="38">
        <f t="shared" si="0"/>
        <v>10</v>
      </c>
      <c r="J8" s="37">
        <v>0</v>
      </c>
      <c r="K8" s="38">
        <f>SUMIFS('03_Phan_bo'!$D$5:$D$204,'03_Phan_bo'!$C$5:$C$204,A8,'03_Phan_bo'!$I$5:$I$204,"&lt;&gt;Hủy")</f>
        <v>0</v>
      </c>
      <c r="L8" s="38">
        <f t="shared" si="1"/>
        <v>10</v>
      </c>
      <c r="M8" s="39" t="str">
        <f t="shared" si="2"/>
        <v>CHƯA KHÓA</v>
      </c>
      <c r="N8" s="4" t="s">
        <v>85</v>
      </c>
      <c r="O8" s="4" t="s">
        <v>86</v>
      </c>
      <c r="P8" s="4" t="s">
        <v>110</v>
      </c>
      <c r="Q8" s="4" t="s">
        <v>111</v>
      </c>
      <c r="R8" s="4" t="s">
        <v>112</v>
      </c>
      <c r="S8" s="4" t="s">
        <v>113</v>
      </c>
      <c r="T8" s="40"/>
      <c r="U8" s="2" t="s">
        <v>91</v>
      </c>
      <c r="V8" s="2" t="s">
        <v>114</v>
      </c>
      <c r="W8" s="41" t="str">
        <f t="shared" si="3"/>
        <v/>
      </c>
    </row>
    <row r="9" spans="1:23" ht="30">
      <c r="A9" s="4" t="s">
        <v>115</v>
      </c>
      <c r="B9" s="4" t="s">
        <v>40</v>
      </c>
      <c r="C9" s="4" t="s">
        <v>41</v>
      </c>
      <c r="D9" s="4" t="s">
        <v>116</v>
      </c>
      <c r="E9" s="4" t="s">
        <v>117</v>
      </c>
      <c r="F9" s="4" t="s">
        <v>118</v>
      </c>
      <c r="G9" s="36">
        <v>4</v>
      </c>
      <c r="H9" s="37"/>
      <c r="I9" s="38">
        <f t="shared" si="0"/>
        <v>4</v>
      </c>
      <c r="J9" s="37">
        <v>0</v>
      </c>
      <c r="K9" s="38">
        <f>SUMIFS('03_Phan_bo'!$D$5:$D$204,'03_Phan_bo'!$C$5:$C$204,A9,'03_Phan_bo'!$I$5:$I$204,"&lt;&gt;Hủy")</f>
        <v>0</v>
      </c>
      <c r="L9" s="38">
        <f t="shared" si="1"/>
        <v>4</v>
      </c>
      <c r="M9" s="39" t="str">
        <f t="shared" si="2"/>
        <v>CHƯA KHÓA</v>
      </c>
      <c r="N9" s="4" t="s">
        <v>119</v>
      </c>
      <c r="O9" s="4" t="s">
        <v>120</v>
      </c>
      <c r="P9" s="4" t="s">
        <v>110</v>
      </c>
      <c r="Q9" s="4" t="s">
        <v>121</v>
      </c>
      <c r="R9" s="4" t="s">
        <v>122</v>
      </c>
      <c r="S9" s="4" t="s">
        <v>123</v>
      </c>
      <c r="T9" s="40"/>
      <c r="U9" s="2" t="s">
        <v>91</v>
      </c>
      <c r="V9" s="2" t="s">
        <v>124</v>
      </c>
      <c r="W9" s="41" t="str">
        <f t="shared" si="3"/>
        <v/>
      </c>
    </row>
    <row r="10" spans="1:23" ht="30">
      <c r="A10" s="4" t="s">
        <v>125</v>
      </c>
      <c r="B10" s="4" t="s">
        <v>43</v>
      </c>
      <c r="C10" s="4" t="s">
        <v>44</v>
      </c>
      <c r="D10" s="4" t="s">
        <v>126</v>
      </c>
      <c r="E10" s="4" t="s">
        <v>127</v>
      </c>
      <c r="F10" s="4" t="s">
        <v>128</v>
      </c>
      <c r="G10" s="36">
        <v>8</v>
      </c>
      <c r="H10" s="37"/>
      <c r="I10" s="38">
        <f t="shared" si="0"/>
        <v>8</v>
      </c>
      <c r="J10" s="37">
        <v>0</v>
      </c>
      <c r="K10" s="38">
        <f>SUMIFS('03_Phan_bo'!$D$5:$D$204,'03_Phan_bo'!$C$5:$C$204,A10,'03_Phan_bo'!$I$5:$I$204,"&lt;&gt;Hủy")</f>
        <v>0</v>
      </c>
      <c r="L10" s="38">
        <f t="shared" si="1"/>
        <v>8</v>
      </c>
      <c r="M10" s="39" t="str">
        <f t="shared" si="2"/>
        <v>CHƯA KHÓA</v>
      </c>
      <c r="N10" s="4" t="s">
        <v>119</v>
      </c>
      <c r="O10" s="4" t="s">
        <v>120</v>
      </c>
      <c r="P10" s="4" t="s">
        <v>129</v>
      </c>
      <c r="Q10" s="4" t="s">
        <v>130</v>
      </c>
      <c r="R10" s="4" t="s">
        <v>131</v>
      </c>
      <c r="S10" s="4" t="s">
        <v>132</v>
      </c>
      <c r="T10" s="40"/>
      <c r="U10" s="2" t="s">
        <v>91</v>
      </c>
      <c r="V10" s="2" t="s">
        <v>133</v>
      </c>
      <c r="W10" s="41" t="str">
        <f t="shared" si="3"/>
        <v/>
      </c>
    </row>
    <row r="11" spans="1:23" ht="45">
      <c r="A11" s="4" t="s">
        <v>134</v>
      </c>
      <c r="B11" s="4" t="s">
        <v>43</v>
      </c>
      <c r="C11" s="4" t="s">
        <v>44</v>
      </c>
      <c r="D11" s="4" t="s">
        <v>135</v>
      </c>
      <c r="E11" s="4" t="s">
        <v>136</v>
      </c>
      <c r="F11" s="4" t="s">
        <v>137</v>
      </c>
      <c r="G11" s="36">
        <v>2</v>
      </c>
      <c r="H11" s="37"/>
      <c r="I11" s="38">
        <f t="shared" si="0"/>
        <v>2</v>
      </c>
      <c r="J11" s="37">
        <v>0</v>
      </c>
      <c r="K11" s="38">
        <f>SUMIFS('03_Phan_bo'!$D$5:$D$204,'03_Phan_bo'!$C$5:$C$204,A11,'03_Phan_bo'!$I$5:$I$204,"&lt;&gt;Hủy")</f>
        <v>0</v>
      </c>
      <c r="L11" s="38">
        <f t="shared" si="1"/>
        <v>2</v>
      </c>
      <c r="M11" s="39" t="str">
        <f t="shared" si="2"/>
        <v>CHƯA KHÓA</v>
      </c>
      <c r="N11" s="4" t="s">
        <v>138</v>
      </c>
      <c r="O11" s="4" t="s">
        <v>120</v>
      </c>
      <c r="P11" s="4" t="s">
        <v>139</v>
      </c>
      <c r="Q11" s="4" t="s">
        <v>140</v>
      </c>
      <c r="R11" s="4" t="s">
        <v>141</v>
      </c>
      <c r="S11" s="4" t="s">
        <v>142</v>
      </c>
      <c r="T11" s="40"/>
      <c r="U11" s="2" t="s">
        <v>143</v>
      </c>
      <c r="V11" s="2" t="s">
        <v>144</v>
      </c>
      <c r="W11" s="41" t="str">
        <f t="shared" si="3"/>
        <v/>
      </c>
    </row>
    <row r="12" spans="1:23" ht="30">
      <c r="A12" s="4" t="s">
        <v>145</v>
      </c>
      <c r="B12" s="4" t="s">
        <v>43</v>
      </c>
      <c r="C12" s="4" t="s">
        <v>44</v>
      </c>
      <c r="D12" s="4" t="s">
        <v>146</v>
      </c>
      <c r="E12" s="4" t="s">
        <v>147</v>
      </c>
      <c r="F12" s="4" t="s">
        <v>148</v>
      </c>
      <c r="G12" s="36">
        <v>4</v>
      </c>
      <c r="H12" s="37"/>
      <c r="I12" s="38">
        <f t="shared" si="0"/>
        <v>4</v>
      </c>
      <c r="J12" s="37">
        <v>0</v>
      </c>
      <c r="K12" s="38">
        <f>SUMIFS('03_Phan_bo'!$D$5:$D$204,'03_Phan_bo'!$C$5:$C$204,A12,'03_Phan_bo'!$I$5:$I$204,"&lt;&gt;Hủy")</f>
        <v>0</v>
      </c>
      <c r="L12" s="38">
        <f t="shared" si="1"/>
        <v>4</v>
      </c>
      <c r="M12" s="39" t="str">
        <f t="shared" si="2"/>
        <v>CHƯA KHÓA</v>
      </c>
      <c r="N12" s="4" t="s">
        <v>119</v>
      </c>
      <c r="O12" s="4" t="s">
        <v>120</v>
      </c>
      <c r="P12" s="4" t="s">
        <v>139</v>
      </c>
      <c r="Q12" s="4" t="s">
        <v>149</v>
      </c>
      <c r="R12" s="4" t="s">
        <v>150</v>
      </c>
      <c r="S12" s="4" t="s">
        <v>151</v>
      </c>
      <c r="T12" s="40"/>
      <c r="U12" s="2" t="s">
        <v>143</v>
      </c>
      <c r="V12" s="2" t="s">
        <v>152</v>
      </c>
      <c r="W12" s="41" t="str">
        <f t="shared" si="3"/>
        <v/>
      </c>
    </row>
    <row r="13" spans="1:23" ht="45">
      <c r="A13" s="4" t="s">
        <v>153</v>
      </c>
      <c r="B13" s="4" t="s">
        <v>46</v>
      </c>
      <c r="C13" s="4" t="s">
        <v>47</v>
      </c>
      <c r="D13" s="4" t="s">
        <v>154</v>
      </c>
      <c r="E13" s="4" t="s">
        <v>155</v>
      </c>
      <c r="F13" s="4" t="s">
        <v>156</v>
      </c>
      <c r="G13" s="36">
        <v>32</v>
      </c>
      <c r="H13" s="37"/>
      <c r="I13" s="38">
        <f t="shared" si="0"/>
        <v>32</v>
      </c>
      <c r="J13" s="37">
        <v>0</v>
      </c>
      <c r="K13" s="38">
        <f>SUMIFS('03_Phan_bo'!$D$5:$D$204,'03_Phan_bo'!$C$5:$C$204,A13,'03_Phan_bo'!$I$5:$I$204,"&lt;&gt;Hủy")</f>
        <v>0</v>
      </c>
      <c r="L13" s="38">
        <f t="shared" si="1"/>
        <v>32</v>
      </c>
      <c r="M13" s="39" t="str">
        <f t="shared" si="2"/>
        <v>CHƯA KHÓA</v>
      </c>
      <c r="N13" s="4" t="s">
        <v>119</v>
      </c>
      <c r="O13" s="4" t="s">
        <v>86</v>
      </c>
      <c r="P13" s="4" t="s">
        <v>157</v>
      </c>
      <c r="Q13" s="4" t="s">
        <v>158</v>
      </c>
      <c r="R13" s="4" t="s">
        <v>159</v>
      </c>
      <c r="S13" s="4" t="s">
        <v>160</v>
      </c>
      <c r="T13" s="40"/>
      <c r="U13" s="2" t="s">
        <v>91</v>
      </c>
      <c r="V13" s="2" t="s">
        <v>161</v>
      </c>
      <c r="W13" s="41" t="str">
        <f t="shared" si="3"/>
        <v/>
      </c>
    </row>
    <row r="14" spans="1:23" ht="30">
      <c r="A14" s="4" t="s">
        <v>162</v>
      </c>
      <c r="B14" s="4" t="s">
        <v>46</v>
      </c>
      <c r="C14" s="4" t="s">
        <v>47</v>
      </c>
      <c r="D14" s="4" t="s">
        <v>163</v>
      </c>
      <c r="E14" s="4" t="s">
        <v>164</v>
      </c>
      <c r="F14" s="4" t="s">
        <v>165</v>
      </c>
      <c r="G14" s="36">
        <v>60</v>
      </c>
      <c r="H14" s="37"/>
      <c r="I14" s="38">
        <f t="shared" si="0"/>
        <v>60</v>
      </c>
      <c r="J14" s="37">
        <v>0</v>
      </c>
      <c r="K14" s="38">
        <f>SUMIFS('03_Phan_bo'!$D$5:$D$204,'03_Phan_bo'!$C$5:$C$204,A14,'03_Phan_bo'!$I$5:$I$204,"&lt;&gt;Hủy")</f>
        <v>0</v>
      </c>
      <c r="L14" s="38">
        <f t="shared" si="1"/>
        <v>60</v>
      </c>
      <c r="M14" s="39" t="str">
        <f t="shared" si="2"/>
        <v>CHƯA KHÓA</v>
      </c>
      <c r="N14" s="4" t="s">
        <v>85</v>
      </c>
      <c r="O14" s="4" t="s">
        <v>86</v>
      </c>
      <c r="P14" s="4" t="s">
        <v>166</v>
      </c>
      <c r="Q14" s="4" t="s">
        <v>167</v>
      </c>
      <c r="R14" s="4" t="s">
        <v>168</v>
      </c>
      <c r="S14" s="4" t="s">
        <v>169</v>
      </c>
      <c r="T14" s="40"/>
      <c r="U14" s="2" t="s">
        <v>91</v>
      </c>
      <c r="V14" s="2" t="s">
        <v>170</v>
      </c>
      <c r="W14" s="41" t="str">
        <f t="shared" si="3"/>
        <v/>
      </c>
    </row>
    <row r="15" spans="1:23" ht="30">
      <c r="A15" s="4" t="s">
        <v>171</v>
      </c>
      <c r="B15" s="4" t="s">
        <v>49</v>
      </c>
      <c r="C15" s="4" t="s">
        <v>50</v>
      </c>
      <c r="D15" s="4" t="s">
        <v>172</v>
      </c>
      <c r="E15" s="4" t="s">
        <v>173</v>
      </c>
      <c r="F15" s="4" t="s">
        <v>118</v>
      </c>
      <c r="G15" s="36">
        <v>4</v>
      </c>
      <c r="H15" s="37"/>
      <c r="I15" s="38">
        <f t="shared" si="0"/>
        <v>4</v>
      </c>
      <c r="J15" s="37">
        <v>0</v>
      </c>
      <c r="K15" s="38">
        <f>SUMIFS('03_Phan_bo'!$D$5:$D$204,'03_Phan_bo'!$C$5:$C$204,A15,'03_Phan_bo'!$I$5:$I$204,"&lt;&gt;Hủy")</f>
        <v>0</v>
      </c>
      <c r="L15" s="38">
        <f t="shared" si="1"/>
        <v>4</v>
      </c>
      <c r="M15" s="39" t="str">
        <f t="shared" si="2"/>
        <v>CHƯA KHÓA</v>
      </c>
      <c r="N15" s="4" t="s">
        <v>119</v>
      </c>
      <c r="O15" s="4" t="s">
        <v>120</v>
      </c>
      <c r="P15" s="4" t="s">
        <v>110</v>
      </c>
      <c r="Q15" s="4" t="s">
        <v>174</v>
      </c>
      <c r="R15" s="4" t="s">
        <v>175</v>
      </c>
      <c r="S15" s="4" t="s">
        <v>176</v>
      </c>
      <c r="T15" s="40"/>
      <c r="U15" s="2" t="s">
        <v>177</v>
      </c>
      <c r="V15" s="2" t="s">
        <v>178</v>
      </c>
      <c r="W15" s="41" t="str">
        <f t="shared" si="3"/>
        <v/>
      </c>
    </row>
    <row r="16" spans="1:23" ht="30">
      <c r="A16" s="4" t="s">
        <v>179</v>
      </c>
      <c r="B16" s="4" t="s">
        <v>49</v>
      </c>
      <c r="C16" s="4" t="s">
        <v>50</v>
      </c>
      <c r="D16" s="4" t="s">
        <v>180</v>
      </c>
      <c r="E16" s="4" t="s">
        <v>181</v>
      </c>
      <c r="F16" s="4" t="s">
        <v>118</v>
      </c>
      <c r="G16" s="36">
        <v>2</v>
      </c>
      <c r="H16" s="37"/>
      <c r="I16" s="38">
        <f t="shared" si="0"/>
        <v>2</v>
      </c>
      <c r="J16" s="37">
        <v>0</v>
      </c>
      <c r="K16" s="38">
        <f>SUMIFS('03_Phan_bo'!$D$5:$D$204,'03_Phan_bo'!$C$5:$C$204,A16,'03_Phan_bo'!$I$5:$I$204,"&lt;&gt;Hủy")</f>
        <v>0</v>
      </c>
      <c r="L16" s="38">
        <f t="shared" si="1"/>
        <v>2</v>
      </c>
      <c r="M16" s="39" t="str">
        <f t="shared" si="2"/>
        <v>CHƯA KHÓA</v>
      </c>
      <c r="N16" s="4" t="s">
        <v>138</v>
      </c>
      <c r="O16" s="4" t="s">
        <v>120</v>
      </c>
      <c r="P16" s="4" t="s">
        <v>110</v>
      </c>
      <c r="Q16" s="4" t="s">
        <v>182</v>
      </c>
      <c r="R16" s="4" t="s">
        <v>183</v>
      </c>
      <c r="S16" s="4" t="s">
        <v>184</v>
      </c>
      <c r="T16" s="40"/>
      <c r="U16" s="2" t="s">
        <v>185</v>
      </c>
      <c r="V16" s="2" t="s">
        <v>186</v>
      </c>
      <c r="W16" s="41" t="str">
        <f t="shared" si="3"/>
        <v/>
      </c>
    </row>
    <row r="17" spans="1:23" ht="30">
      <c r="A17" s="4" t="s">
        <v>187</v>
      </c>
      <c r="B17" s="4" t="s">
        <v>49</v>
      </c>
      <c r="C17" s="4" t="s">
        <v>50</v>
      </c>
      <c r="D17" s="4" t="s">
        <v>188</v>
      </c>
      <c r="E17" s="4" t="s">
        <v>189</v>
      </c>
      <c r="F17" s="4" t="s">
        <v>190</v>
      </c>
      <c r="G17" s="36">
        <v>8</v>
      </c>
      <c r="H17" s="37"/>
      <c r="I17" s="38">
        <f t="shared" si="0"/>
        <v>8</v>
      </c>
      <c r="J17" s="37">
        <v>0</v>
      </c>
      <c r="K17" s="38">
        <f>SUMIFS('03_Phan_bo'!$D$5:$D$204,'03_Phan_bo'!$C$5:$C$204,A17,'03_Phan_bo'!$I$5:$I$204,"&lt;&gt;Hủy")</f>
        <v>0</v>
      </c>
      <c r="L17" s="38">
        <f t="shared" si="1"/>
        <v>8</v>
      </c>
      <c r="M17" s="39" t="str">
        <f t="shared" si="2"/>
        <v>CHƯA KHÓA</v>
      </c>
      <c r="N17" s="4" t="s">
        <v>85</v>
      </c>
      <c r="O17" s="4" t="s">
        <v>86</v>
      </c>
      <c r="P17" s="4" t="s">
        <v>191</v>
      </c>
      <c r="Q17" s="4" t="s">
        <v>192</v>
      </c>
      <c r="R17" s="4" t="s">
        <v>193</v>
      </c>
      <c r="S17" s="4" t="s">
        <v>194</v>
      </c>
      <c r="T17" s="40"/>
      <c r="U17" s="2" t="s">
        <v>185</v>
      </c>
      <c r="V17" s="2" t="s">
        <v>195</v>
      </c>
      <c r="W17" s="41" t="str">
        <f t="shared" si="3"/>
        <v/>
      </c>
    </row>
    <row r="18" spans="1:23" ht="30">
      <c r="A18" s="4" t="s">
        <v>196</v>
      </c>
      <c r="B18" s="4" t="s">
        <v>49</v>
      </c>
      <c r="C18" s="4" t="s">
        <v>50</v>
      </c>
      <c r="D18" s="4" t="s">
        <v>197</v>
      </c>
      <c r="E18" s="4" t="s">
        <v>198</v>
      </c>
      <c r="F18" s="4" t="s">
        <v>199</v>
      </c>
      <c r="G18" s="36">
        <v>3</v>
      </c>
      <c r="H18" s="37"/>
      <c r="I18" s="38">
        <f t="shared" si="0"/>
        <v>3</v>
      </c>
      <c r="J18" s="37">
        <v>0</v>
      </c>
      <c r="K18" s="38">
        <f>SUMIFS('03_Phan_bo'!$D$5:$D$204,'03_Phan_bo'!$C$5:$C$204,A18,'03_Phan_bo'!$I$5:$I$204,"&lt;&gt;Hủy")</f>
        <v>0</v>
      </c>
      <c r="L18" s="38">
        <f t="shared" si="1"/>
        <v>3</v>
      </c>
      <c r="M18" s="39" t="str">
        <f t="shared" si="2"/>
        <v>CHƯA KHÓA</v>
      </c>
      <c r="N18" s="4" t="s">
        <v>119</v>
      </c>
      <c r="O18" s="4" t="s">
        <v>120</v>
      </c>
      <c r="P18" s="4" t="s">
        <v>110</v>
      </c>
      <c r="Q18" s="4" t="s">
        <v>200</v>
      </c>
      <c r="R18" s="4" t="s">
        <v>201</v>
      </c>
      <c r="S18" s="4" t="s">
        <v>202</v>
      </c>
      <c r="T18" s="40"/>
      <c r="U18" s="2" t="s">
        <v>185</v>
      </c>
      <c r="V18" s="2" t="s">
        <v>203</v>
      </c>
      <c r="W18" s="41" t="str">
        <f t="shared" si="3"/>
        <v/>
      </c>
    </row>
    <row r="19" spans="1:23" ht="30">
      <c r="A19" s="4" t="s">
        <v>204</v>
      </c>
      <c r="B19" s="4" t="s">
        <v>52</v>
      </c>
      <c r="C19" s="4" t="s">
        <v>53</v>
      </c>
      <c r="D19" s="4" t="s">
        <v>205</v>
      </c>
      <c r="E19" s="4" t="s">
        <v>206</v>
      </c>
      <c r="F19" s="4" t="s">
        <v>84</v>
      </c>
      <c r="G19" s="36">
        <v>12</v>
      </c>
      <c r="H19" s="37"/>
      <c r="I19" s="38">
        <f t="shared" si="0"/>
        <v>12</v>
      </c>
      <c r="J19" s="37">
        <v>0</v>
      </c>
      <c r="K19" s="38">
        <f>SUMIFS('03_Phan_bo'!$D$5:$D$204,'03_Phan_bo'!$C$5:$C$204,A19,'03_Phan_bo'!$I$5:$I$204,"&lt;&gt;Hủy")</f>
        <v>0</v>
      </c>
      <c r="L19" s="38">
        <f t="shared" si="1"/>
        <v>12</v>
      </c>
      <c r="M19" s="39" t="str">
        <f t="shared" si="2"/>
        <v>CHƯA KHÓA</v>
      </c>
      <c r="N19" s="4" t="s">
        <v>85</v>
      </c>
      <c r="O19" s="4" t="s">
        <v>86</v>
      </c>
      <c r="P19" s="4" t="s">
        <v>207</v>
      </c>
      <c r="Q19" s="4" t="s">
        <v>208</v>
      </c>
      <c r="R19" s="4" t="s">
        <v>209</v>
      </c>
      <c r="S19" s="4" t="s">
        <v>210</v>
      </c>
      <c r="T19" s="40"/>
      <c r="U19" s="2" t="s">
        <v>91</v>
      </c>
      <c r="V19" s="2" t="s">
        <v>211</v>
      </c>
      <c r="W19" s="41" t="str">
        <f t="shared" si="3"/>
        <v/>
      </c>
    </row>
    <row r="20" spans="1:23" ht="30">
      <c r="A20" s="4" t="s">
        <v>212</v>
      </c>
      <c r="B20" s="4" t="s">
        <v>52</v>
      </c>
      <c r="C20" s="4" t="s">
        <v>53</v>
      </c>
      <c r="D20" s="4" t="s">
        <v>213</v>
      </c>
      <c r="E20" s="4" t="s">
        <v>214</v>
      </c>
      <c r="F20" s="4" t="s">
        <v>84</v>
      </c>
      <c r="G20" s="36">
        <v>12</v>
      </c>
      <c r="H20" s="37"/>
      <c r="I20" s="38">
        <f t="shared" si="0"/>
        <v>12</v>
      </c>
      <c r="J20" s="37">
        <v>0</v>
      </c>
      <c r="K20" s="38">
        <f>SUMIFS('03_Phan_bo'!$D$5:$D$204,'03_Phan_bo'!$C$5:$C$204,A20,'03_Phan_bo'!$I$5:$I$204,"&lt;&gt;Hủy")</f>
        <v>0</v>
      </c>
      <c r="L20" s="38">
        <f t="shared" si="1"/>
        <v>12</v>
      </c>
      <c r="M20" s="39" t="str">
        <f t="shared" si="2"/>
        <v>CHƯA KHÓA</v>
      </c>
      <c r="N20" s="4" t="s">
        <v>85</v>
      </c>
      <c r="O20" s="4" t="s">
        <v>86</v>
      </c>
      <c r="P20" s="4" t="s">
        <v>215</v>
      </c>
      <c r="Q20" s="4" t="s">
        <v>216</v>
      </c>
      <c r="R20" s="4" t="s">
        <v>217</v>
      </c>
      <c r="S20" s="4" t="s">
        <v>218</v>
      </c>
      <c r="T20" s="40"/>
      <c r="U20" s="2" t="s">
        <v>91</v>
      </c>
      <c r="V20" s="2" t="s">
        <v>219</v>
      </c>
      <c r="W20" s="41" t="str">
        <f t="shared" si="3"/>
        <v/>
      </c>
    </row>
    <row r="21" spans="1:23" ht="30">
      <c r="A21" s="4" t="s">
        <v>220</v>
      </c>
      <c r="B21" s="4" t="s">
        <v>52</v>
      </c>
      <c r="C21" s="4" t="s">
        <v>53</v>
      </c>
      <c r="D21" s="4" t="s">
        <v>221</v>
      </c>
      <c r="E21" s="4" t="s">
        <v>222</v>
      </c>
      <c r="F21" s="4" t="s">
        <v>223</v>
      </c>
      <c r="G21" s="36">
        <v>6</v>
      </c>
      <c r="H21" s="37"/>
      <c r="I21" s="38">
        <f t="shared" si="0"/>
        <v>6</v>
      </c>
      <c r="J21" s="37">
        <v>0</v>
      </c>
      <c r="K21" s="38">
        <f>SUMIFS('03_Phan_bo'!$D$5:$D$204,'03_Phan_bo'!$C$5:$C$204,A21,'03_Phan_bo'!$I$5:$I$204,"&lt;&gt;Hủy")</f>
        <v>0</v>
      </c>
      <c r="L21" s="38">
        <f t="shared" si="1"/>
        <v>6</v>
      </c>
      <c r="M21" s="39" t="str">
        <f t="shared" si="2"/>
        <v>CHƯA KHÓA</v>
      </c>
      <c r="N21" s="4" t="s">
        <v>119</v>
      </c>
      <c r="O21" s="4" t="s">
        <v>120</v>
      </c>
      <c r="P21" s="4" t="s">
        <v>224</v>
      </c>
      <c r="Q21" s="4" t="s">
        <v>225</v>
      </c>
      <c r="R21" s="4" t="s">
        <v>226</v>
      </c>
      <c r="S21" s="4" t="s">
        <v>227</v>
      </c>
      <c r="T21" s="40"/>
      <c r="U21" s="2" t="s">
        <v>91</v>
      </c>
      <c r="V21" s="2" t="s">
        <v>228</v>
      </c>
      <c r="W21" s="41" t="str">
        <f t="shared" si="3"/>
        <v/>
      </c>
    </row>
    <row r="22" spans="1:23" ht="30">
      <c r="A22" s="4" t="s">
        <v>229</v>
      </c>
      <c r="B22" s="4" t="s">
        <v>52</v>
      </c>
      <c r="C22" s="4" t="s">
        <v>53</v>
      </c>
      <c r="D22" s="4" t="s">
        <v>230</v>
      </c>
      <c r="E22" s="4" t="s">
        <v>231</v>
      </c>
      <c r="F22" s="4" t="s">
        <v>223</v>
      </c>
      <c r="G22" s="36">
        <v>1</v>
      </c>
      <c r="H22" s="37"/>
      <c r="I22" s="38">
        <f t="shared" si="0"/>
        <v>1</v>
      </c>
      <c r="J22" s="37">
        <v>0</v>
      </c>
      <c r="K22" s="38">
        <f>SUMIFS('03_Phan_bo'!$D$5:$D$204,'03_Phan_bo'!$C$5:$C$204,A22,'03_Phan_bo'!$I$5:$I$204,"&lt;&gt;Hủy")</f>
        <v>0</v>
      </c>
      <c r="L22" s="38">
        <f t="shared" si="1"/>
        <v>1</v>
      </c>
      <c r="M22" s="39" t="str">
        <f t="shared" si="2"/>
        <v>CHƯA KHÓA</v>
      </c>
      <c r="N22" s="4" t="s">
        <v>138</v>
      </c>
      <c r="O22" s="4" t="s">
        <v>120</v>
      </c>
      <c r="P22" s="4" t="s">
        <v>232</v>
      </c>
      <c r="Q22" s="4" t="s">
        <v>233</v>
      </c>
      <c r="R22" s="4" t="s">
        <v>234</v>
      </c>
      <c r="S22" s="4" t="s">
        <v>235</v>
      </c>
      <c r="T22" s="40"/>
      <c r="U22" s="2" t="s">
        <v>91</v>
      </c>
      <c r="V22" s="2" t="s">
        <v>236</v>
      </c>
      <c r="W22" s="41" t="str">
        <f t="shared" si="3"/>
        <v/>
      </c>
    </row>
    <row r="23" spans="1:23" ht="30">
      <c r="A23" s="4" t="s">
        <v>237</v>
      </c>
      <c r="B23" s="4" t="s">
        <v>52</v>
      </c>
      <c r="C23" s="4" t="s">
        <v>53</v>
      </c>
      <c r="D23" s="4" t="s">
        <v>238</v>
      </c>
      <c r="E23" s="4" t="s">
        <v>239</v>
      </c>
      <c r="F23" s="4" t="s">
        <v>223</v>
      </c>
      <c r="G23" s="36">
        <v>4</v>
      </c>
      <c r="H23" s="37"/>
      <c r="I23" s="38">
        <f t="shared" si="0"/>
        <v>4</v>
      </c>
      <c r="J23" s="37">
        <v>0</v>
      </c>
      <c r="K23" s="38">
        <f>SUMIFS('03_Phan_bo'!$D$5:$D$204,'03_Phan_bo'!$C$5:$C$204,A23,'03_Phan_bo'!$I$5:$I$204,"&lt;&gt;Hủy")</f>
        <v>0</v>
      </c>
      <c r="L23" s="38">
        <f t="shared" si="1"/>
        <v>4</v>
      </c>
      <c r="M23" s="39" t="str">
        <f t="shared" si="2"/>
        <v>CHƯA KHÓA</v>
      </c>
      <c r="N23" s="4" t="s">
        <v>119</v>
      </c>
      <c r="O23" s="4" t="s">
        <v>120</v>
      </c>
      <c r="P23" s="4" t="s">
        <v>240</v>
      </c>
      <c r="Q23" s="4" t="s">
        <v>241</v>
      </c>
      <c r="R23" s="4" t="s">
        <v>242</v>
      </c>
      <c r="S23" s="4" t="s">
        <v>243</v>
      </c>
      <c r="T23" s="40"/>
      <c r="U23" s="2" t="s">
        <v>91</v>
      </c>
      <c r="V23" s="2" t="s">
        <v>244</v>
      </c>
      <c r="W23" s="41" t="str">
        <f t="shared" si="3"/>
        <v/>
      </c>
    </row>
    <row r="24" spans="1:23" ht="30">
      <c r="A24" s="4" t="s">
        <v>245</v>
      </c>
      <c r="B24" s="4" t="s">
        <v>55</v>
      </c>
      <c r="C24" s="4" t="s">
        <v>56</v>
      </c>
      <c r="D24" s="4" t="s">
        <v>246</v>
      </c>
      <c r="E24" s="4" t="s">
        <v>247</v>
      </c>
      <c r="F24" s="4" t="s">
        <v>248</v>
      </c>
      <c r="G24" s="36">
        <v>10</v>
      </c>
      <c r="H24" s="37"/>
      <c r="I24" s="38">
        <f t="shared" si="0"/>
        <v>10</v>
      </c>
      <c r="J24" s="37">
        <v>0</v>
      </c>
      <c r="K24" s="38">
        <f>SUMIFS('03_Phan_bo'!$D$5:$D$204,'03_Phan_bo'!$C$5:$C$204,A24,'03_Phan_bo'!$I$5:$I$204,"&lt;&gt;Hủy")</f>
        <v>0</v>
      </c>
      <c r="L24" s="38">
        <f t="shared" si="1"/>
        <v>10</v>
      </c>
      <c r="M24" s="39" t="str">
        <f t="shared" si="2"/>
        <v>CHƯA KHÓA</v>
      </c>
      <c r="N24" s="4" t="s">
        <v>119</v>
      </c>
      <c r="O24" s="4" t="s">
        <v>86</v>
      </c>
      <c r="P24" s="4" t="s">
        <v>249</v>
      </c>
      <c r="Q24" s="4" t="s">
        <v>250</v>
      </c>
      <c r="R24" s="4" t="s">
        <v>251</v>
      </c>
      <c r="S24" s="4" t="s">
        <v>252</v>
      </c>
      <c r="T24" s="40"/>
      <c r="U24" s="2" t="s">
        <v>91</v>
      </c>
      <c r="V24" s="2" t="s">
        <v>253</v>
      </c>
      <c r="W24" s="41" t="str">
        <f t="shared" si="3"/>
        <v/>
      </c>
    </row>
    <row r="25" spans="1:23" ht="30">
      <c r="A25" s="4" t="s">
        <v>254</v>
      </c>
      <c r="B25" s="4" t="s">
        <v>55</v>
      </c>
      <c r="C25" s="4" t="s">
        <v>56</v>
      </c>
      <c r="D25" s="4" t="s">
        <v>255</v>
      </c>
      <c r="E25" s="4" t="s">
        <v>256</v>
      </c>
      <c r="F25" s="4" t="s">
        <v>257</v>
      </c>
      <c r="G25" s="36">
        <v>12</v>
      </c>
      <c r="H25" s="37"/>
      <c r="I25" s="38">
        <f t="shared" si="0"/>
        <v>12</v>
      </c>
      <c r="J25" s="37">
        <v>0</v>
      </c>
      <c r="K25" s="38">
        <f>SUMIFS('03_Phan_bo'!$D$5:$D$204,'03_Phan_bo'!$C$5:$C$204,A25,'03_Phan_bo'!$I$5:$I$204,"&lt;&gt;Hủy")</f>
        <v>0</v>
      </c>
      <c r="L25" s="38">
        <f t="shared" si="1"/>
        <v>12</v>
      </c>
      <c r="M25" s="39" t="str">
        <f t="shared" si="2"/>
        <v>CHƯA KHÓA</v>
      </c>
      <c r="N25" s="4" t="s">
        <v>119</v>
      </c>
      <c r="O25" s="4" t="s">
        <v>86</v>
      </c>
      <c r="P25" s="4" t="s">
        <v>258</v>
      </c>
      <c r="Q25" s="4" t="s">
        <v>259</v>
      </c>
      <c r="R25" s="4" t="s">
        <v>260</v>
      </c>
      <c r="S25" s="4" t="s">
        <v>261</v>
      </c>
      <c r="T25" s="40"/>
      <c r="U25" s="2" t="s">
        <v>91</v>
      </c>
      <c r="V25" s="2" t="s">
        <v>262</v>
      </c>
      <c r="W25" s="41" t="str">
        <f t="shared" si="3"/>
        <v/>
      </c>
    </row>
    <row r="26" spans="1:23" ht="30">
      <c r="A26" s="4" t="s">
        <v>263</v>
      </c>
      <c r="B26" s="4" t="s">
        <v>55</v>
      </c>
      <c r="C26" s="4" t="s">
        <v>56</v>
      </c>
      <c r="D26" s="4" t="s">
        <v>264</v>
      </c>
      <c r="E26" s="4" t="s">
        <v>265</v>
      </c>
      <c r="F26" s="4" t="s">
        <v>266</v>
      </c>
      <c r="G26" s="36">
        <v>12</v>
      </c>
      <c r="H26" s="37"/>
      <c r="I26" s="38">
        <f t="shared" si="0"/>
        <v>12</v>
      </c>
      <c r="J26" s="37">
        <v>0</v>
      </c>
      <c r="K26" s="38">
        <f>SUMIFS('03_Phan_bo'!$D$5:$D$204,'03_Phan_bo'!$C$5:$C$204,A26,'03_Phan_bo'!$I$5:$I$204,"&lt;&gt;Hủy")</f>
        <v>0</v>
      </c>
      <c r="L26" s="38">
        <f t="shared" si="1"/>
        <v>12</v>
      </c>
      <c r="M26" s="39" t="str">
        <f t="shared" si="2"/>
        <v>CHƯA KHÓA</v>
      </c>
      <c r="N26" s="4" t="s">
        <v>119</v>
      </c>
      <c r="O26" s="4" t="s">
        <v>86</v>
      </c>
      <c r="P26" s="4" t="s">
        <v>267</v>
      </c>
      <c r="Q26" s="4" t="s">
        <v>268</v>
      </c>
      <c r="R26" s="4" t="s">
        <v>269</v>
      </c>
      <c r="S26" s="42" t="s">
        <v>270</v>
      </c>
      <c r="T26" s="40"/>
      <c r="U26" s="2" t="s">
        <v>91</v>
      </c>
      <c r="V26" s="2" t="s">
        <v>271</v>
      </c>
      <c r="W26" s="41" t="str">
        <f t="shared" si="3"/>
        <v/>
      </c>
    </row>
    <row r="27" spans="1:23" ht="30">
      <c r="A27" s="4" t="s">
        <v>272</v>
      </c>
      <c r="B27" s="4" t="s">
        <v>55</v>
      </c>
      <c r="C27" s="4" t="s">
        <v>56</v>
      </c>
      <c r="D27" s="4" t="s">
        <v>273</v>
      </c>
      <c r="E27" s="4" t="s">
        <v>274</v>
      </c>
      <c r="F27" s="4" t="s">
        <v>84</v>
      </c>
      <c r="G27" s="36">
        <v>8</v>
      </c>
      <c r="H27" s="37"/>
      <c r="I27" s="38">
        <f t="shared" si="0"/>
        <v>8</v>
      </c>
      <c r="J27" s="37">
        <v>0</v>
      </c>
      <c r="K27" s="38">
        <f>SUMIFS('03_Phan_bo'!$D$5:$D$204,'03_Phan_bo'!$C$5:$C$204,A27,'03_Phan_bo'!$I$5:$I$204,"&lt;&gt;Hủy")</f>
        <v>0</v>
      </c>
      <c r="L27" s="38">
        <f t="shared" si="1"/>
        <v>8</v>
      </c>
      <c r="M27" s="39" t="str">
        <f t="shared" si="2"/>
        <v>CHƯA KHÓA</v>
      </c>
      <c r="N27" s="4" t="s">
        <v>85</v>
      </c>
      <c r="O27" s="4" t="s">
        <v>86</v>
      </c>
      <c r="P27" s="4" t="s">
        <v>275</v>
      </c>
      <c r="Q27" s="4" t="s">
        <v>276</v>
      </c>
      <c r="R27" s="4" t="s">
        <v>277</v>
      </c>
      <c r="S27" s="42" t="s">
        <v>278</v>
      </c>
      <c r="T27" s="40"/>
      <c r="U27" s="2" t="s">
        <v>91</v>
      </c>
      <c r="V27" s="2" t="s">
        <v>279</v>
      </c>
      <c r="W27" s="41" t="str">
        <f t="shared" si="3"/>
        <v/>
      </c>
    </row>
    <row r="28" spans="1:23" ht="30">
      <c r="A28" s="4" t="s">
        <v>280</v>
      </c>
      <c r="B28" s="4" t="s">
        <v>55</v>
      </c>
      <c r="C28" s="4" t="s">
        <v>56</v>
      </c>
      <c r="D28" s="4" t="s">
        <v>281</v>
      </c>
      <c r="E28" s="4" t="s">
        <v>282</v>
      </c>
      <c r="F28" s="4" t="s">
        <v>63</v>
      </c>
      <c r="G28" s="36">
        <v>4</v>
      </c>
      <c r="H28" s="37"/>
      <c r="I28" s="38">
        <f t="shared" si="0"/>
        <v>4</v>
      </c>
      <c r="J28" s="37">
        <v>0</v>
      </c>
      <c r="K28" s="38">
        <f>SUMIFS('03_Phan_bo'!$D$5:$D$204,'03_Phan_bo'!$C$5:$C$204,A28,'03_Phan_bo'!$I$5:$I$204,"&lt;&gt;Hủy")</f>
        <v>0</v>
      </c>
      <c r="L28" s="38">
        <f t="shared" si="1"/>
        <v>4</v>
      </c>
      <c r="M28" s="39" t="str">
        <f t="shared" si="2"/>
        <v>CHƯA KHÓA</v>
      </c>
      <c r="N28" s="4" t="s">
        <v>119</v>
      </c>
      <c r="O28" s="4" t="s">
        <v>120</v>
      </c>
      <c r="P28" s="4" t="s">
        <v>249</v>
      </c>
      <c r="Q28" s="4" t="s">
        <v>283</v>
      </c>
      <c r="R28" s="4" t="s">
        <v>284</v>
      </c>
      <c r="S28" s="42" t="s">
        <v>285</v>
      </c>
      <c r="T28" s="40"/>
      <c r="U28" s="2" t="s">
        <v>91</v>
      </c>
      <c r="V28" s="2" t="s">
        <v>286</v>
      </c>
      <c r="W28" s="41" t="str">
        <f t="shared" si="3"/>
        <v/>
      </c>
    </row>
    <row r="29" spans="1:23" ht="30">
      <c r="A29" s="4" t="s">
        <v>287</v>
      </c>
      <c r="B29" s="4" t="s">
        <v>55</v>
      </c>
      <c r="C29" s="4" t="s">
        <v>56</v>
      </c>
      <c r="D29" s="4" t="s">
        <v>288</v>
      </c>
      <c r="E29" s="4" t="s">
        <v>289</v>
      </c>
      <c r="F29" s="4" t="s">
        <v>290</v>
      </c>
      <c r="G29" s="36">
        <v>8</v>
      </c>
      <c r="H29" s="37"/>
      <c r="I29" s="38">
        <f t="shared" si="0"/>
        <v>8</v>
      </c>
      <c r="J29" s="37">
        <v>0</v>
      </c>
      <c r="K29" s="38">
        <f>SUMIFS('03_Phan_bo'!$D$5:$D$204,'03_Phan_bo'!$C$5:$C$204,A29,'03_Phan_bo'!$I$5:$I$204,"&lt;&gt;Hủy")</f>
        <v>0</v>
      </c>
      <c r="L29" s="38">
        <f t="shared" si="1"/>
        <v>8</v>
      </c>
      <c r="M29" s="39" t="str">
        <f t="shared" si="2"/>
        <v>CHƯA KHÓA</v>
      </c>
      <c r="N29" s="4" t="s">
        <v>119</v>
      </c>
      <c r="O29" s="4" t="s">
        <v>120</v>
      </c>
      <c r="P29" s="4" t="s">
        <v>291</v>
      </c>
      <c r="Q29" s="4" t="s">
        <v>292</v>
      </c>
      <c r="R29" s="4" t="s">
        <v>293</v>
      </c>
      <c r="S29" s="42" t="s">
        <v>294</v>
      </c>
      <c r="T29" s="40"/>
      <c r="U29" s="2" t="s">
        <v>91</v>
      </c>
      <c r="V29" s="2" t="s">
        <v>295</v>
      </c>
      <c r="W29" s="41" t="str">
        <f t="shared" si="3"/>
        <v/>
      </c>
    </row>
    <row r="30" spans="1:23">
      <c r="A30" s="5"/>
      <c r="B30" s="5"/>
      <c r="C30" s="5"/>
      <c r="D30" s="5"/>
      <c r="E30" s="5"/>
      <c r="F30" s="5"/>
      <c r="G30" s="11"/>
      <c r="H30" s="12"/>
      <c r="I30" s="13"/>
      <c r="J30" s="13"/>
      <c r="K30" s="13"/>
      <c r="L30" s="13"/>
      <c r="M30" s="10"/>
      <c r="N30" s="5"/>
      <c r="O30" s="5"/>
      <c r="P30" s="5"/>
      <c r="Q30" s="5"/>
      <c r="R30" s="5"/>
      <c r="S30" s="17"/>
    </row>
    <row r="31" spans="1:23">
      <c r="A31" s="5"/>
      <c r="B31" s="5"/>
      <c r="C31" s="5"/>
      <c r="D31" s="5"/>
      <c r="E31" s="5"/>
      <c r="F31" s="5"/>
      <c r="G31" s="11"/>
      <c r="H31" s="12"/>
      <c r="I31" s="13"/>
      <c r="J31" s="13"/>
      <c r="K31" s="13"/>
      <c r="L31" s="13"/>
      <c r="M31" s="10"/>
      <c r="N31" s="5"/>
      <c r="O31" s="5"/>
      <c r="P31" s="5"/>
      <c r="Q31" s="5"/>
      <c r="R31" s="5"/>
      <c r="S31" s="17"/>
    </row>
  </sheetData>
  <mergeCells count="2">
    <mergeCell ref="A1:S1"/>
    <mergeCell ref="A2:S2"/>
  </mergeCells>
  <conditionalFormatting sqref="M5:M31">
    <cfRule type="expression" dxfId="19" priority="1">
      <formula>$M5="VƯỢT CAP"</formula>
    </cfRule>
    <cfRule type="expression" dxfId="18" priority="2">
      <formula>$M5="HẾT"</formula>
    </cfRule>
    <cfRule type="expression" dxfId="17" priority="3">
      <formula>$M5="CÒN"</formula>
    </cfRule>
  </conditionalFormatting>
  <conditionalFormatting sqref="M5:M29">
    <cfRule type="expression" dxfId="16" priority="4">
      <formula>M5="VƯỢT CAP"</formula>
    </cfRule>
    <cfRule type="expression" dxfId="15" priority="5">
      <formula>M5="HẾT"</formula>
    </cfRule>
    <cfRule type="expression" dxfId="14" priority="6">
      <formula>M5="CÒN"</formula>
    </cfRule>
    <cfRule type="expression" dxfId="13" priority="7">
      <formula>M5="CHƯA KHÓA"</formula>
    </cfRule>
  </conditionalFormatting>
  <dataValidations count="3">
    <dataValidation type="list" sqref="N5:N31" xr:uid="{00000000-0002-0000-0200-000000000000}">
      <formula1>"Shared,Dedicated,Signature"</formula1>
    </dataValidation>
    <dataValidation type="list" sqref="O5:O31" xr:uid="{00000000-0002-0000-0200-000001000000}">
      <formula1>"Lõi,Chuyên biệt"</formula1>
    </dataValidation>
    <dataValidation type="list" sqref="U5:U29" xr:uid="{00000000-0002-0000-0200-000003000000}">
      <formula1>"Tiền mặt,Hiện vật,Giải thưởng,Dịch vụ,Hỗn hợp,Tiền mặt / Hỗn hợp,Giải thưởng / Hiện vật / Hỗn hợp,Hiện vật / Dịch vụ / Hỗn hợp"</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4"/>
  <sheetViews>
    <sheetView workbookViewId="0">
      <selection sqref="A1:F1"/>
    </sheetView>
  </sheetViews>
  <sheetFormatPr baseColWidth="10" defaultColWidth="8.83203125" defaultRowHeight="14"/>
  <cols>
    <col min="1" max="1" width="7" customWidth="1"/>
    <col min="2" max="2" width="26" customWidth="1"/>
    <col min="3" max="4" width="10" customWidth="1"/>
    <col min="5" max="6" width="14" customWidth="1"/>
    <col min="7" max="7" width="18" customWidth="1"/>
    <col min="8" max="8" width="36" customWidth="1"/>
    <col min="9" max="9" width="14" customWidth="1"/>
    <col min="10" max="10" width="18" customWidth="1"/>
  </cols>
  <sheetData>
    <row r="1" spans="1:10" ht="34.75" customHeight="1">
      <c r="A1" s="69" t="s">
        <v>296</v>
      </c>
      <c r="B1" s="69"/>
      <c r="C1" s="69"/>
      <c r="D1" s="69"/>
      <c r="E1" s="69"/>
      <c r="F1" s="69"/>
      <c r="G1" s="18"/>
      <c r="H1" s="18"/>
      <c r="I1" s="18"/>
      <c r="J1" s="18"/>
    </row>
    <row r="2" spans="1:10">
      <c r="A2" s="72" t="s">
        <v>297</v>
      </c>
      <c r="B2" s="72"/>
      <c r="C2" s="72"/>
      <c r="D2" s="72"/>
      <c r="E2" s="72"/>
      <c r="F2" s="72"/>
      <c r="G2" s="20"/>
      <c r="H2" s="20"/>
      <c r="I2" s="20"/>
      <c r="J2" s="20"/>
    </row>
    <row r="3" spans="1:10">
      <c r="A3" s="3"/>
      <c r="B3" s="3"/>
      <c r="C3" s="3"/>
      <c r="D3" s="3"/>
      <c r="E3" s="3"/>
      <c r="F3" s="3"/>
    </row>
    <row r="4" spans="1:10">
      <c r="A4" s="23" t="s">
        <v>298</v>
      </c>
      <c r="B4" s="23" t="s">
        <v>299</v>
      </c>
      <c r="C4" s="23" t="s">
        <v>60</v>
      </c>
      <c r="D4" s="23" t="s">
        <v>300</v>
      </c>
      <c r="E4" s="23" t="s">
        <v>301</v>
      </c>
      <c r="F4" s="23" t="s">
        <v>302</v>
      </c>
      <c r="G4" s="24" t="s">
        <v>303</v>
      </c>
      <c r="H4" s="24" t="s">
        <v>304</v>
      </c>
      <c r="I4" s="24" t="s">
        <v>70</v>
      </c>
      <c r="J4" s="24" t="s">
        <v>73</v>
      </c>
    </row>
    <row r="5" spans="1:10">
      <c r="A5" s="5">
        <v>1</v>
      </c>
      <c r="B5" s="9"/>
      <c r="C5" s="9"/>
      <c r="D5" s="35"/>
      <c r="E5" s="5"/>
      <c r="F5" s="9"/>
      <c r="G5" s="27"/>
      <c r="H5" s="1"/>
      <c r="I5" s="1"/>
      <c r="J5" s="1"/>
    </row>
    <row r="6" spans="1:10">
      <c r="A6" s="5">
        <v>2</v>
      </c>
      <c r="B6" s="9"/>
      <c r="C6" s="9"/>
      <c r="D6" s="35"/>
      <c r="E6" s="5"/>
      <c r="F6" s="9"/>
      <c r="G6" s="27"/>
      <c r="H6" s="1"/>
      <c r="I6" s="1"/>
      <c r="J6" s="1"/>
    </row>
    <row r="7" spans="1:10">
      <c r="A7" s="5">
        <v>3</v>
      </c>
      <c r="B7" s="9"/>
      <c r="C7" s="9"/>
      <c r="D7" s="35"/>
      <c r="E7" s="5"/>
      <c r="F7" s="9"/>
      <c r="G7" s="27"/>
      <c r="H7" s="1"/>
      <c r="I7" s="1"/>
      <c r="J7" s="1"/>
    </row>
    <row r="8" spans="1:10">
      <c r="A8" s="5">
        <v>4</v>
      </c>
      <c r="B8" s="9"/>
      <c r="C8" s="9"/>
      <c r="D8" s="35"/>
      <c r="E8" s="5"/>
      <c r="F8" s="9"/>
      <c r="G8" s="27"/>
      <c r="H8" s="1"/>
      <c r="I8" s="1"/>
      <c r="J8" s="1"/>
    </row>
    <row r="9" spans="1:10">
      <c r="A9" s="5">
        <v>5</v>
      </c>
      <c r="B9" s="9"/>
      <c r="C9" s="9"/>
      <c r="D9" s="35"/>
      <c r="E9" s="5"/>
      <c r="F9" s="9"/>
      <c r="G9" s="27"/>
      <c r="H9" s="1"/>
      <c r="I9" s="1"/>
      <c r="J9" s="1"/>
    </row>
    <row r="10" spans="1:10">
      <c r="A10" s="5">
        <v>6</v>
      </c>
      <c r="B10" s="9"/>
      <c r="C10" s="9"/>
      <c r="D10" s="35"/>
      <c r="E10" s="5"/>
      <c r="F10" s="9"/>
      <c r="G10" s="27"/>
      <c r="H10" s="1"/>
      <c r="I10" s="1"/>
      <c r="J10" s="1"/>
    </row>
    <row r="11" spans="1:10">
      <c r="A11" s="5">
        <v>7</v>
      </c>
      <c r="B11" s="9"/>
      <c r="C11" s="9"/>
      <c r="D11" s="35"/>
      <c r="E11" s="5"/>
      <c r="F11" s="9"/>
      <c r="G11" s="27"/>
      <c r="H11" s="1"/>
      <c r="I11" s="1"/>
      <c r="J11" s="1"/>
    </row>
    <row r="12" spans="1:10">
      <c r="A12" s="5">
        <v>8</v>
      </c>
      <c r="B12" s="9"/>
      <c r="C12" s="9"/>
      <c r="D12" s="35"/>
      <c r="E12" s="5"/>
      <c r="F12" s="9"/>
      <c r="G12" s="27"/>
      <c r="H12" s="1"/>
      <c r="I12" s="1"/>
      <c r="J12" s="1"/>
    </row>
    <row r="13" spans="1:10">
      <c r="A13" s="5">
        <v>9</v>
      </c>
      <c r="B13" s="9"/>
      <c r="C13" s="9"/>
      <c r="D13" s="35"/>
      <c r="E13" s="5"/>
      <c r="F13" s="9"/>
      <c r="G13" s="27"/>
      <c r="H13" s="1"/>
      <c r="I13" s="1"/>
      <c r="J13" s="1"/>
    </row>
    <row r="14" spans="1:10">
      <c r="A14" s="5">
        <v>10</v>
      </c>
      <c r="B14" s="9"/>
      <c r="C14" s="9"/>
      <c r="D14" s="35"/>
      <c r="E14" s="5"/>
      <c r="F14" s="9"/>
      <c r="G14" s="27"/>
      <c r="H14" s="1"/>
      <c r="I14" s="1"/>
      <c r="J14" s="1"/>
    </row>
    <row r="15" spans="1:10">
      <c r="A15" s="5">
        <v>11</v>
      </c>
      <c r="B15" s="9"/>
      <c r="C15" s="9"/>
      <c r="D15" s="35"/>
      <c r="E15" s="5"/>
      <c r="F15" s="9"/>
      <c r="G15" s="27"/>
      <c r="H15" s="1"/>
      <c r="I15" s="1"/>
      <c r="J15" s="1"/>
    </row>
    <row r="16" spans="1:10">
      <c r="A16" s="5">
        <v>12</v>
      </c>
      <c r="B16" s="9"/>
      <c r="C16" s="9"/>
      <c r="D16" s="35"/>
      <c r="E16" s="5"/>
      <c r="F16" s="9"/>
      <c r="G16" s="27"/>
      <c r="H16" s="1"/>
      <c r="I16" s="1"/>
      <c r="J16" s="1"/>
    </row>
    <row r="17" spans="1:10">
      <c r="A17" s="5">
        <v>13</v>
      </c>
      <c r="B17" s="9"/>
      <c r="C17" s="9"/>
      <c r="D17" s="35"/>
      <c r="E17" s="5"/>
      <c r="F17" s="9"/>
      <c r="G17" s="27"/>
      <c r="H17" s="1"/>
      <c r="I17" s="1"/>
      <c r="J17" s="1"/>
    </row>
    <row r="18" spans="1:10">
      <c r="A18" s="5">
        <v>14</v>
      </c>
      <c r="B18" s="9"/>
      <c r="C18" s="9"/>
      <c r="D18" s="35"/>
      <c r="E18" s="5"/>
      <c r="F18" s="9"/>
      <c r="G18" s="27"/>
      <c r="H18" s="1"/>
      <c r="I18" s="1"/>
      <c r="J18" s="1"/>
    </row>
    <row r="19" spans="1:10">
      <c r="A19" s="5">
        <v>15</v>
      </c>
      <c r="B19" s="9"/>
      <c r="C19" s="9"/>
      <c r="D19" s="35"/>
      <c r="E19" s="5"/>
      <c r="F19" s="9"/>
      <c r="G19" s="27"/>
      <c r="H19" s="1"/>
      <c r="I19" s="1"/>
      <c r="J19" s="1"/>
    </row>
    <row r="20" spans="1:10">
      <c r="A20" s="5">
        <v>16</v>
      </c>
      <c r="B20" s="9"/>
      <c r="C20" s="9"/>
      <c r="D20" s="35"/>
      <c r="E20" s="5"/>
      <c r="F20" s="9"/>
      <c r="G20" s="27"/>
      <c r="H20" s="1"/>
      <c r="I20" s="1"/>
      <c r="J20" s="1"/>
    </row>
    <row r="21" spans="1:10">
      <c r="A21" s="5">
        <v>17</v>
      </c>
      <c r="B21" s="9"/>
      <c r="C21" s="9"/>
      <c r="D21" s="35"/>
      <c r="E21" s="5"/>
      <c r="F21" s="9"/>
      <c r="G21" s="27"/>
      <c r="H21" s="1"/>
      <c r="I21" s="1"/>
      <c r="J21" s="1"/>
    </row>
    <row r="22" spans="1:10">
      <c r="A22" s="5">
        <v>18</v>
      </c>
      <c r="B22" s="9"/>
      <c r="C22" s="9"/>
      <c r="D22" s="35"/>
      <c r="E22" s="5"/>
      <c r="F22" s="9"/>
      <c r="G22" s="27"/>
      <c r="H22" s="1"/>
      <c r="I22" s="1"/>
      <c r="J22" s="1"/>
    </row>
    <row r="23" spans="1:10">
      <c r="A23" s="5">
        <v>19</v>
      </c>
      <c r="B23" s="9"/>
      <c r="C23" s="9"/>
      <c r="D23" s="35"/>
      <c r="E23" s="5"/>
      <c r="F23" s="9"/>
      <c r="G23" s="27"/>
      <c r="H23" s="1"/>
      <c r="I23" s="1"/>
      <c r="J23" s="1"/>
    </row>
    <row r="24" spans="1:10">
      <c r="A24" s="5">
        <v>20</v>
      </c>
      <c r="B24" s="9"/>
      <c r="C24" s="9"/>
      <c r="D24" s="35"/>
      <c r="E24" s="5"/>
      <c r="F24" s="9"/>
      <c r="G24" s="27"/>
      <c r="H24" s="1"/>
      <c r="I24" s="1"/>
      <c r="J24" s="1"/>
    </row>
    <row r="25" spans="1:10">
      <c r="A25" s="5">
        <v>21</v>
      </c>
      <c r="B25" s="9"/>
      <c r="C25" s="9"/>
      <c r="D25" s="35"/>
      <c r="E25" s="5"/>
      <c r="F25" s="9"/>
      <c r="G25" s="27"/>
      <c r="H25" s="1"/>
      <c r="I25" s="1"/>
      <c r="J25" s="1"/>
    </row>
    <row r="26" spans="1:10">
      <c r="A26" s="5">
        <v>22</v>
      </c>
      <c r="B26" s="9"/>
      <c r="C26" s="9"/>
      <c r="D26" s="35"/>
      <c r="E26" s="5"/>
      <c r="F26" s="9"/>
      <c r="G26" s="27"/>
      <c r="H26" s="1"/>
      <c r="I26" s="1"/>
      <c r="J26" s="1"/>
    </row>
    <row r="27" spans="1:10">
      <c r="A27" s="5">
        <v>23</v>
      </c>
      <c r="B27" s="9"/>
      <c r="C27" s="9"/>
      <c r="D27" s="35"/>
      <c r="E27" s="5"/>
      <c r="F27" s="9"/>
      <c r="G27" s="27"/>
      <c r="H27" s="1"/>
      <c r="I27" s="1"/>
      <c r="J27" s="1"/>
    </row>
    <row r="28" spans="1:10">
      <c r="A28" s="5">
        <v>24</v>
      </c>
      <c r="B28" s="9"/>
      <c r="C28" s="9"/>
      <c r="D28" s="35"/>
      <c r="E28" s="5"/>
      <c r="F28" s="9"/>
      <c r="G28" s="27"/>
      <c r="H28" s="1"/>
      <c r="I28" s="1"/>
      <c r="J28" s="1"/>
    </row>
    <row r="29" spans="1:10">
      <c r="A29" s="5">
        <v>25</v>
      </c>
      <c r="B29" s="9"/>
      <c r="C29" s="9"/>
      <c r="D29" s="35"/>
      <c r="E29" s="5"/>
      <c r="F29" s="9"/>
      <c r="G29" s="27"/>
      <c r="H29" s="1"/>
      <c r="I29" s="1"/>
      <c r="J29" s="1"/>
    </row>
    <row r="30" spans="1:10">
      <c r="A30" s="5">
        <v>26</v>
      </c>
      <c r="B30" s="9"/>
      <c r="C30" s="9"/>
      <c r="D30" s="35"/>
      <c r="E30" s="5"/>
      <c r="F30" s="9"/>
      <c r="G30" s="27"/>
      <c r="H30" s="1"/>
      <c r="I30" s="1"/>
      <c r="J30" s="1"/>
    </row>
    <row r="31" spans="1:10">
      <c r="A31" s="5">
        <v>27</v>
      </c>
      <c r="B31" s="9"/>
      <c r="C31" s="9"/>
      <c r="D31" s="35"/>
      <c r="E31" s="5"/>
      <c r="F31" s="9"/>
      <c r="G31" s="27"/>
      <c r="H31" s="1"/>
      <c r="I31" s="1"/>
      <c r="J31" s="1"/>
    </row>
    <row r="32" spans="1:10">
      <c r="A32" s="5">
        <v>28</v>
      </c>
      <c r="B32" s="9"/>
      <c r="C32" s="9"/>
      <c r="D32" s="35"/>
      <c r="E32" s="5"/>
      <c r="F32" s="9"/>
      <c r="G32" s="27"/>
      <c r="H32" s="1"/>
      <c r="I32" s="1"/>
      <c r="J32" s="1"/>
    </row>
    <row r="33" spans="1:10">
      <c r="A33" s="5">
        <v>29</v>
      </c>
      <c r="B33" s="9"/>
      <c r="C33" s="9"/>
      <c r="D33" s="35"/>
      <c r="E33" s="5"/>
      <c r="F33" s="9"/>
      <c r="G33" s="27"/>
      <c r="H33" s="1"/>
      <c r="I33" s="1"/>
      <c r="J33" s="1"/>
    </row>
    <row r="34" spans="1:10">
      <c r="A34" s="5">
        <v>30</v>
      </c>
      <c r="B34" s="9"/>
      <c r="C34" s="9"/>
      <c r="D34" s="35"/>
      <c r="E34" s="5"/>
      <c r="F34" s="9"/>
      <c r="G34" s="27"/>
      <c r="H34" s="1"/>
      <c r="I34" s="1"/>
      <c r="J34" s="1"/>
    </row>
    <row r="35" spans="1:10">
      <c r="A35" s="5">
        <v>31</v>
      </c>
      <c r="B35" s="9"/>
      <c r="C35" s="9"/>
      <c r="D35" s="35"/>
      <c r="E35" s="5"/>
      <c r="F35" s="9"/>
      <c r="G35" s="27"/>
      <c r="H35" s="1"/>
      <c r="I35" s="1"/>
      <c r="J35" s="1"/>
    </row>
    <row r="36" spans="1:10">
      <c r="A36" s="5">
        <v>32</v>
      </c>
      <c r="B36" s="9"/>
      <c r="C36" s="9"/>
      <c r="D36" s="35"/>
      <c r="E36" s="5"/>
      <c r="F36" s="9"/>
      <c r="G36" s="27"/>
      <c r="H36" s="1"/>
      <c r="I36" s="1"/>
      <c r="J36" s="1"/>
    </row>
    <row r="37" spans="1:10">
      <c r="A37" s="5">
        <v>33</v>
      </c>
      <c r="B37" s="9"/>
      <c r="C37" s="9"/>
      <c r="D37" s="35"/>
      <c r="E37" s="5"/>
      <c r="F37" s="9"/>
      <c r="G37" s="27"/>
      <c r="H37" s="1"/>
      <c r="I37" s="1"/>
      <c r="J37" s="1"/>
    </row>
    <row r="38" spans="1:10">
      <c r="A38" s="5">
        <v>34</v>
      </c>
      <c r="B38" s="9"/>
      <c r="C38" s="9"/>
      <c r="D38" s="35"/>
      <c r="E38" s="5"/>
      <c r="F38" s="9"/>
      <c r="G38" s="27"/>
      <c r="H38" s="1"/>
      <c r="I38" s="1"/>
      <c r="J38" s="1"/>
    </row>
    <row r="39" spans="1:10">
      <c r="A39" s="5">
        <v>35</v>
      </c>
      <c r="B39" s="9"/>
      <c r="C39" s="9"/>
      <c r="D39" s="35"/>
      <c r="E39" s="5"/>
      <c r="F39" s="9"/>
      <c r="G39" s="27"/>
      <c r="H39" s="1"/>
      <c r="I39" s="1"/>
      <c r="J39" s="1"/>
    </row>
    <row r="40" spans="1:10">
      <c r="A40" s="5">
        <v>36</v>
      </c>
      <c r="B40" s="9"/>
      <c r="C40" s="9"/>
      <c r="D40" s="35"/>
      <c r="E40" s="5"/>
      <c r="F40" s="9"/>
      <c r="G40" s="27"/>
      <c r="H40" s="1"/>
      <c r="I40" s="1"/>
      <c r="J40" s="1"/>
    </row>
    <row r="41" spans="1:10">
      <c r="A41" s="5">
        <v>37</v>
      </c>
      <c r="B41" s="9"/>
      <c r="C41" s="9"/>
      <c r="D41" s="35"/>
      <c r="E41" s="5"/>
      <c r="F41" s="9"/>
      <c r="G41" s="27"/>
      <c r="H41" s="1"/>
      <c r="I41" s="1"/>
      <c r="J41" s="1"/>
    </row>
    <row r="42" spans="1:10">
      <c r="A42" s="5">
        <v>38</v>
      </c>
      <c r="B42" s="9"/>
      <c r="C42" s="9"/>
      <c r="D42" s="35"/>
      <c r="E42" s="5"/>
      <c r="F42" s="9"/>
      <c r="G42" s="27"/>
      <c r="H42" s="1"/>
      <c r="I42" s="1"/>
      <c r="J42" s="1"/>
    </row>
    <row r="43" spans="1:10">
      <c r="A43" s="5">
        <v>39</v>
      </c>
      <c r="B43" s="9"/>
      <c r="C43" s="9"/>
      <c r="D43" s="35"/>
      <c r="E43" s="5"/>
      <c r="F43" s="9"/>
      <c r="G43" s="27"/>
      <c r="H43" s="1"/>
      <c r="I43" s="1"/>
      <c r="J43" s="1"/>
    </row>
    <row r="44" spans="1:10">
      <c r="A44" s="5">
        <v>40</v>
      </c>
      <c r="B44" s="9"/>
      <c r="C44" s="9"/>
      <c r="D44" s="35"/>
      <c r="E44" s="5"/>
      <c r="F44" s="9"/>
      <c r="G44" s="27"/>
      <c r="H44" s="1"/>
      <c r="I44" s="1"/>
      <c r="J44" s="1"/>
    </row>
    <row r="45" spans="1:10">
      <c r="A45" s="5">
        <v>41</v>
      </c>
      <c r="B45" s="9"/>
      <c r="C45" s="9"/>
      <c r="D45" s="35"/>
      <c r="E45" s="5"/>
      <c r="F45" s="9"/>
      <c r="G45" s="27"/>
      <c r="H45" s="1"/>
      <c r="I45" s="1"/>
      <c r="J45" s="1"/>
    </row>
    <row r="46" spans="1:10">
      <c r="A46" s="5">
        <v>42</v>
      </c>
      <c r="B46" s="9"/>
      <c r="C46" s="9"/>
      <c r="D46" s="35"/>
      <c r="E46" s="5"/>
      <c r="F46" s="9"/>
      <c r="G46" s="27"/>
      <c r="H46" s="1"/>
      <c r="I46" s="1"/>
      <c r="J46" s="1"/>
    </row>
    <row r="47" spans="1:10">
      <c r="A47" s="5">
        <v>43</v>
      </c>
      <c r="B47" s="9"/>
      <c r="C47" s="9"/>
      <c r="D47" s="35"/>
      <c r="E47" s="5"/>
      <c r="F47" s="9"/>
      <c r="G47" s="27"/>
      <c r="H47" s="1"/>
      <c r="I47" s="1"/>
      <c r="J47" s="1"/>
    </row>
    <row r="48" spans="1:10">
      <c r="A48" s="5">
        <v>44</v>
      </c>
      <c r="B48" s="9"/>
      <c r="C48" s="9"/>
      <c r="D48" s="35"/>
      <c r="E48" s="5"/>
      <c r="F48" s="9"/>
      <c r="G48" s="27"/>
      <c r="H48" s="1"/>
      <c r="I48" s="1"/>
      <c r="J48" s="1"/>
    </row>
    <row r="49" spans="1:10">
      <c r="A49" s="5">
        <v>45</v>
      </c>
      <c r="B49" s="9"/>
      <c r="C49" s="9"/>
      <c r="D49" s="35"/>
      <c r="E49" s="5"/>
      <c r="F49" s="9"/>
      <c r="G49" s="27"/>
      <c r="H49" s="1"/>
      <c r="I49" s="1"/>
      <c r="J49" s="1"/>
    </row>
    <row r="50" spans="1:10">
      <c r="A50" s="5">
        <v>46</v>
      </c>
      <c r="B50" s="9"/>
      <c r="C50" s="9"/>
      <c r="D50" s="35"/>
      <c r="E50" s="5"/>
      <c r="F50" s="9"/>
      <c r="G50" s="27"/>
      <c r="H50" s="1"/>
      <c r="I50" s="1"/>
      <c r="J50" s="1"/>
    </row>
    <row r="51" spans="1:10">
      <c r="A51" s="5">
        <v>47</v>
      </c>
      <c r="B51" s="9"/>
      <c r="C51" s="9"/>
      <c r="D51" s="35"/>
      <c r="E51" s="5"/>
      <c r="F51" s="9"/>
      <c r="G51" s="27"/>
      <c r="H51" s="1"/>
      <c r="I51" s="1"/>
      <c r="J51" s="1"/>
    </row>
    <row r="52" spans="1:10">
      <c r="A52" s="5">
        <v>48</v>
      </c>
      <c r="B52" s="9"/>
      <c r="C52" s="9"/>
      <c r="D52" s="35"/>
      <c r="E52" s="5"/>
      <c r="F52" s="9"/>
      <c r="G52" s="27"/>
      <c r="H52" s="1"/>
      <c r="I52" s="1"/>
      <c r="J52" s="1"/>
    </row>
    <row r="53" spans="1:10">
      <c r="A53" s="5">
        <v>49</v>
      </c>
      <c r="B53" s="9"/>
      <c r="C53" s="9"/>
      <c r="D53" s="35"/>
      <c r="E53" s="5"/>
      <c r="F53" s="9"/>
      <c r="G53" s="27"/>
      <c r="H53" s="1"/>
      <c r="I53" s="1"/>
      <c r="J53" s="1"/>
    </row>
    <row r="54" spans="1:10">
      <c r="A54" s="5">
        <v>50</v>
      </c>
      <c r="B54" s="9"/>
      <c r="C54" s="9"/>
      <c r="D54" s="35"/>
      <c r="E54" s="5"/>
      <c r="F54" s="9"/>
      <c r="G54" s="27"/>
      <c r="H54" s="1"/>
      <c r="I54" s="1"/>
      <c r="J54" s="1"/>
    </row>
    <row r="55" spans="1:10">
      <c r="A55" s="5">
        <v>51</v>
      </c>
      <c r="B55" s="9"/>
      <c r="C55" s="9"/>
      <c r="D55" s="35"/>
      <c r="E55" s="5"/>
      <c r="F55" s="9"/>
      <c r="G55" s="27"/>
      <c r="H55" s="1"/>
      <c r="I55" s="1"/>
      <c r="J55" s="1"/>
    </row>
    <row r="56" spans="1:10">
      <c r="A56" s="5">
        <v>52</v>
      </c>
      <c r="B56" s="9"/>
      <c r="C56" s="9"/>
      <c r="D56" s="35"/>
      <c r="E56" s="5"/>
      <c r="F56" s="9"/>
      <c r="G56" s="27"/>
      <c r="H56" s="1"/>
      <c r="I56" s="1"/>
      <c r="J56" s="1"/>
    </row>
    <row r="57" spans="1:10">
      <c r="A57" s="5">
        <v>53</v>
      </c>
      <c r="B57" s="9"/>
      <c r="C57" s="9"/>
      <c r="D57" s="35"/>
      <c r="E57" s="5"/>
      <c r="F57" s="9"/>
      <c r="G57" s="27"/>
      <c r="H57" s="1"/>
      <c r="I57" s="1"/>
      <c r="J57" s="1"/>
    </row>
    <row r="58" spans="1:10">
      <c r="A58" s="5">
        <v>54</v>
      </c>
      <c r="B58" s="9"/>
      <c r="C58" s="9"/>
      <c r="D58" s="35"/>
      <c r="E58" s="5"/>
      <c r="F58" s="9"/>
      <c r="G58" s="27"/>
      <c r="H58" s="1"/>
      <c r="I58" s="1"/>
      <c r="J58" s="1"/>
    </row>
    <row r="59" spans="1:10">
      <c r="A59" s="5">
        <v>55</v>
      </c>
      <c r="B59" s="9"/>
      <c r="C59" s="9"/>
      <c r="D59" s="35"/>
      <c r="E59" s="5"/>
      <c r="F59" s="9"/>
      <c r="G59" s="27"/>
      <c r="H59" s="1"/>
      <c r="I59" s="1"/>
      <c r="J59" s="1"/>
    </row>
    <row r="60" spans="1:10">
      <c r="A60" s="5">
        <v>56</v>
      </c>
      <c r="B60" s="9"/>
      <c r="C60" s="9"/>
      <c r="D60" s="35"/>
      <c r="E60" s="5"/>
      <c r="F60" s="9"/>
      <c r="G60" s="27"/>
      <c r="H60" s="1"/>
      <c r="I60" s="1"/>
      <c r="J60" s="1"/>
    </row>
    <row r="61" spans="1:10">
      <c r="A61" s="5">
        <v>57</v>
      </c>
      <c r="B61" s="9"/>
      <c r="C61" s="9"/>
      <c r="D61" s="35"/>
      <c r="E61" s="5"/>
      <c r="F61" s="9"/>
      <c r="G61" s="27"/>
      <c r="H61" s="1"/>
      <c r="I61" s="1"/>
      <c r="J61" s="1"/>
    </row>
    <row r="62" spans="1:10">
      <c r="A62" s="5">
        <v>58</v>
      </c>
      <c r="B62" s="9"/>
      <c r="C62" s="9"/>
      <c r="D62" s="35"/>
      <c r="E62" s="5"/>
      <c r="F62" s="9"/>
      <c r="G62" s="27"/>
      <c r="H62" s="1"/>
      <c r="I62" s="1"/>
      <c r="J62" s="1"/>
    </row>
    <row r="63" spans="1:10">
      <c r="A63" s="5">
        <v>59</v>
      </c>
      <c r="B63" s="9"/>
      <c r="C63" s="9"/>
      <c r="D63" s="35"/>
      <c r="E63" s="5"/>
      <c r="F63" s="9"/>
      <c r="G63" s="27"/>
      <c r="H63" s="1"/>
      <c r="I63" s="1"/>
      <c r="J63" s="1"/>
    </row>
    <row r="64" spans="1:10">
      <c r="A64" s="5">
        <v>60</v>
      </c>
      <c r="B64" s="9"/>
      <c r="C64" s="9"/>
      <c r="D64" s="35"/>
      <c r="E64" s="5"/>
      <c r="F64" s="9"/>
      <c r="G64" s="27"/>
      <c r="H64" s="1"/>
      <c r="I64" s="1"/>
      <c r="J64" s="1"/>
    </row>
    <row r="65" spans="1:10">
      <c r="A65" s="5">
        <v>61</v>
      </c>
      <c r="B65" s="9"/>
      <c r="C65" s="9"/>
      <c r="D65" s="35"/>
      <c r="E65" s="5"/>
      <c r="F65" s="9"/>
      <c r="G65" s="27"/>
      <c r="H65" s="1"/>
      <c r="I65" s="1"/>
      <c r="J65" s="1"/>
    </row>
    <row r="66" spans="1:10">
      <c r="A66" s="5">
        <v>62</v>
      </c>
      <c r="B66" s="9"/>
      <c r="C66" s="9"/>
      <c r="D66" s="35"/>
      <c r="E66" s="5"/>
      <c r="F66" s="9"/>
      <c r="G66" s="27"/>
      <c r="H66" s="1"/>
      <c r="I66" s="1"/>
      <c r="J66" s="1"/>
    </row>
    <row r="67" spans="1:10">
      <c r="A67" s="5">
        <v>63</v>
      </c>
      <c r="B67" s="9"/>
      <c r="C67" s="9"/>
      <c r="D67" s="35"/>
      <c r="E67" s="5"/>
      <c r="F67" s="9"/>
      <c r="G67" s="27"/>
      <c r="H67" s="1"/>
      <c r="I67" s="1"/>
      <c r="J67" s="1"/>
    </row>
    <row r="68" spans="1:10">
      <c r="A68" s="5">
        <v>64</v>
      </c>
      <c r="B68" s="9"/>
      <c r="C68" s="9"/>
      <c r="D68" s="35"/>
      <c r="E68" s="5"/>
      <c r="F68" s="9"/>
      <c r="G68" s="27"/>
      <c r="H68" s="1"/>
      <c r="I68" s="1"/>
      <c r="J68" s="1"/>
    </row>
    <row r="69" spans="1:10">
      <c r="A69" s="5">
        <v>65</v>
      </c>
      <c r="B69" s="9"/>
      <c r="C69" s="9"/>
      <c r="D69" s="35"/>
      <c r="E69" s="5"/>
      <c r="F69" s="9"/>
      <c r="G69" s="27"/>
      <c r="H69" s="1"/>
      <c r="I69" s="1"/>
      <c r="J69" s="1"/>
    </row>
    <row r="70" spans="1:10">
      <c r="A70" s="5">
        <v>66</v>
      </c>
      <c r="B70" s="9"/>
      <c r="C70" s="9"/>
      <c r="D70" s="35"/>
      <c r="E70" s="5"/>
      <c r="F70" s="9"/>
      <c r="G70" s="27"/>
      <c r="H70" s="1"/>
      <c r="I70" s="1"/>
      <c r="J70" s="1"/>
    </row>
    <row r="71" spans="1:10">
      <c r="A71" s="5">
        <v>67</v>
      </c>
      <c r="B71" s="9"/>
      <c r="C71" s="9"/>
      <c r="D71" s="35"/>
      <c r="E71" s="5"/>
      <c r="F71" s="9"/>
      <c r="G71" s="27"/>
      <c r="H71" s="1"/>
      <c r="I71" s="1"/>
      <c r="J71" s="1"/>
    </row>
    <row r="72" spans="1:10">
      <c r="A72" s="5">
        <v>68</v>
      </c>
      <c r="B72" s="9"/>
      <c r="C72" s="9"/>
      <c r="D72" s="35"/>
      <c r="E72" s="5"/>
      <c r="F72" s="9"/>
      <c r="G72" s="27"/>
      <c r="H72" s="1"/>
      <c r="I72" s="1"/>
      <c r="J72" s="1"/>
    </row>
    <row r="73" spans="1:10">
      <c r="A73" s="5">
        <v>69</v>
      </c>
      <c r="B73" s="9"/>
      <c r="C73" s="9"/>
      <c r="D73" s="35"/>
      <c r="E73" s="5"/>
      <c r="F73" s="9"/>
      <c r="G73" s="27"/>
      <c r="H73" s="1"/>
      <c r="I73" s="1"/>
      <c r="J73" s="1"/>
    </row>
    <row r="74" spans="1:10">
      <c r="A74" s="5">
        <v>70</v>
      </c>
      <c r="B74" s="9"/>
      <c r="C74" s="9"/>
      <c r="D74" s="35"/>
      <c r="E74" s="5"/>
      <c r="F74" s="9"/>
      <c r="G74" s="27"/>
      <c r="H74" s="1"/>
      <c r="I74" s="1"/>
      <c r="J74" s="1"/>
    </row>
    <row r="75" spans="1:10">
      <c r="A75" s="5">
        <v>71</v>
      </c>
      <c r="B75" s="9"/>
      <c r="C75" s="9"/>
      <c r="D75" s="35"/>
      <c r="E75" s="5"/>
      <c r="F75" s="9"/>
      <c r="G75" s="27"/>
      <c r="H75" s="1"/>
      <c r="I75" s="1"/>
      <c r="J75" s="1"/>
    </row>
    <row r="76" spans="1:10">
      <c r="A76" s="5">
        <v>72</v>
      </c>
      <c r="B76" s="9"/>
      <c r="C76" s="9"/>
      <c r="D76" s="35"/>
      <c r="E76" s="5"/>
      <c r="F76" s="9"/>
      <c r="G76" s="27"/>
      <c r="H76" s="1"/>
      <c r="I76" s="1"/>
      <c r="J76" s="1"/>
    </row>
    <row r="77" spans="1:10">
      <c r="A77" s="5">
        <v>73</v>
      </c>
      <c r="B77" s="9"/>
      <c r="C77" s="9"/>
      <c r="D77" s="35"/>
      <c r="E77" s="5"/>
      <c r="F77" s="9"/>
      <c r="G77" s="27"/>
      <c r="H77" s="1"/>
      <c r="I77" s="1"/>
      <c r="J77" s="1"/>
    </row>
    <row r="78" spans="1:10">
      <c r="A78" s="5">
        <v>74</v>
      </c>
      <c r="B78" s="9"/>
      <c r="C78" s="9"/>
      <c r="D78" s="35"/>
      <c r="E78" s="5"/>
      <c r="F78" s="9"/>
      <c r="G78" s="27"/>
      <c r="H78" s="1"/>
      <c r="I78" s="1"/>
      <c r="J78" s="1"/>
    </row>
    <row r="79" spans="1:10">
      <c r="A79" s="5">
        <v>75</v>
      </c>
      <c r="B79" s="9"/>
      <c r="C79" s="9"/>
      <c r="D79" s="35"/>
      <c r="E79" s="5"/>
      <c r="F79" s="9"/>
      <c r="G79" s="27"/>
      <c r="H79" s="1"/>
      <c r="I79" s="1"/>
      <c r="J79" s="1"/>
    </row>
    <row r="80" spans="1:10">
      <c r="A80" s="5">
        <v>76</v>
      </c>
      <c r="B80" s="9"/>
      <c r="C80" s="9"/>
      <c r="D80" s="35"/>
      <c r="E80" s="5"/>
      <c r="F80" s="9"/>
      <c r="G80" s="27"/>
      <c r="H80" s="1"/>
      <c r="I80" s="1"/>
      <c r="J80" s="1"/>
    </row>
    <row r="81" spans="1:10">
      <c r="A81" s="5">
        <v>77</v>
      </c>
      <c r="B81" s="9"/>
      <c r="C81" s="9"/>
      <c r="D81" s="35"/>
      <c r="E81" s="5"/>
      <c r="F81" s="9"/>
      <c r="G81" s="27"/>
      <c r="H81" s="1"/>
      <c r="I81" s="1"/>
      <c r="J81" s="1"/>
    </row>
    <row r="82" spans="1:10">
      <c r="A82" s="5">
        <v>78</v>
      </c>
      <c r="B82" s="9"/>
      <c r="C82" s="9"/>
      <c r="D82" s="35"/>
      <c r="E82" s="5"/>
      <c r="F82" s="9"/>
      <c r="G82" s="27"/>
      <c r="H82" s="1"/>
      <c r="I82" s="1"/>
      <c r="J82" s="1"/>
    </row>
    <row r="83" spans="1:10">
      <c r="A83" s="5">
        <v>79</v>
      </c>
      <c r="B83" s="9"/>
      <c r="C83" s="9"/>
      <c r="D83" s="35"/>
      <c r="E83" s="5"/>
      <c r="F83" s="9"/>
      <c r="G83" s="27"/>
      <c r="H83" s="1"/>
      <c r="I83" s="1"/>
      <c r="J83" s="1"/>
    </row>
    <row r="84" spans="1:10">
      <c r="A84" s="5">
        <v>80</v>
      </c>
      <c r="B84" s="9"/>
      <c r="C84" s="9"/>
      <c r="D84" s="35"/>
      <c r="E84" s="5"/>
      <c r="F84" s="9"/>
      <c r="G84" s="27"/>
      <c r="H84" s="1"/>
      <c r="I84" s="1"/>
      <c r="J84" s="1"/>
    </row>
    <row r="85" spans="1:10">
      <c r="A85" s="5">
        <v>81</v>
      </c>
      <c r="B85" s="9"/>
      <c r="C85" s="9"/>
      <c r="D85" s="35"/>
      <c r="E85" s="5"/>
      <c r="F85" s="9"/>
      <c r="G85" s="27"/>
      <c r="H85" s="1"/>
      <c r="I85" s="1"/>
      <c r="J85" s="1"/>
    </row>
    <row r="86" spans="1:10">
      <c r="A86" s="5">
        <v>82</v>
      </c>
      <c r="B86" s="9"/>
      <c r="C86" s="9"/>
      <c r="D86" s="35"/>
      <c r="E86" s="5"/>
      <c r="F86" s="9"/>
      <c r="G86" s="27"/>
      <c r="H86" s="1"/>
      <c r="I86" s="1"/>
      <c r="J86" s="1"/>
    </row>
    <row r="87" spans="1:10">
      <c r="A87" s="5">
        <v>83</v>
      </c>
      <c r="B87" s="9"/>
      <c r="C87" s="9"/>
      <c r="D87" s="35"/>
      <c r="E87" s="5"/>
      <c r="F87" s="9"/>
      <c r="G87" s="27"/>
      <c r="H87" s="1"/>
      <c r="I87" s="1"/>
      <c r="J87" s="1"/>
    </row>
    <row r="88" spans="1:10">
      <c r="A88" s="5">
        <v>84</v>
      </c>
      <c r="B88" s="9"/>
      <c r="C88" s="9"/>
      <c r="D88" s="35"/>
      <c r="E88" s="5"/>
      <c r="F88" s="9"/>
      <c r="G88" s="27"/>
      <c r="H88" s="1"/>
      <c r="I88" s="1"/>
      <c r="J88" s="1"/>
    </row>
    <row r="89" spans="1:10">
      <c r="A89" s="5">
        <v>85</v>
      </c>
      <c r="B89" s="9"/>
      <c r="C89" s="9"/>
      <c r="D89" s="35"/>
      <c r="E89" s="5"/>
      <c r="F89" s="9"/>
      <c r="G89" s="27"/>
      <c r="H89" s="1"/>
      <c r="I89" s="1"/>
      <c r="J89" s="1"/>
    </row>
    <row r="90" spans="1:10">
      <c r="A90" s="5">
        <v>86</v>
      </c>
      <c r="B90" s="9"/>
      <c r="C90" s="9"/>
      <c r="D90" s="35"/>
      <c r="E90" s="5"/>
      <c r="F90" s="9"/>
      <c r="G90" s="27"/>
      <c r="H90" s="1"/>
      <c r="I90" s="1"/>
      <c r="J90" s="1"/>
    </row>
    <row r="91" spans="1:10">
      <c r="A91" s="5">
        <v>87</v>
      </c>
      <c r="B91" s="9"/>
      <c r="C91" s="9"/>
      <c r="D91" s="35"/>
      <c r="E91" s="5"/>
      <c r="F91" s="9"/>
      <c r="G91" s="27"/>
      <c r="H91" s="1"/>
      <c r="I91" s="1"/>
      <c r="J91" s="1"/>
    </row>
    <row r="92" spans="1:10">
      <c r="A92" s="5">
        <v>88</v>
      </c>
      <c r="B92" s="9"/>
      <c r="C92" s="9"/>
      <c r="D92" s="35"/>
      <c r="E92" s="5"/>
      <c r="F92" s="9"/>
      <c r="G92" s="27"/>
      <c r="H92" s="1"/>
      <c r="I92" s="1"/>
      <c r="J92" s="1"/>
    </row>
    <row r="93" spans="1:10">
      <c r="A93" s="5">
        <v>89</v>
      </c>
      <c r="B93" s="9"/>
      <c r="C93" s="9"/>
      <c r="D93" s="35"/>
      <c r="E93" s="5"/>
      <c r="F93" s="9"/>
      <c r="G93" s="27"/>
      <c r="H93" s="1"/>
      <c r="I93" s="1"/>
      <c r="J93" s="1"/>
    </row>
    <row r="94" spans="1:10">
      <c r="A94" s="5">
        <v>90</v>
      </c>
      <c r="B94" s="9"/>
      <c r="C94" s="9"/>
      <c r="D94" s="35"/>
      <c r="E94" s="5"/>
      <c r="F94" s="9"/>
      <c r="G94" s="27"/>
      <c r="H94" s="1"/>
      <c r="I94" s="1"/>
      <c r="J94" s="1"/>
    </row>
    <row r="95" spans="1:10">
      <c r="A95" s="5">
        <v>91</v>
      </c>
      <c r="B95" s="9"/>
      <c r="C95" s="9"/>
      <c r="D95" s="35"/>
      <c r="E95" s="5"/>
      <c r="F95" s="9"/>
      <c r="G95" s="27"/>
      <c r="H95" s="1"/>
      <c r="I95" s="1"/>
      <c r="J95" s="1"/>
    </row>
    <row r="96" spans="1:10">
      <c r="A96" s="5">
        <v>92</v>
      </c>
      <c r="B96" s="9"/>
      <c r="C96" s="9"/>
      <c r="D96" s="35"/>
      <c r="E96" s="5"/>
      <c r="F96" s="9"/>
      <c r="G96" s="27"/>
      <c r="H96" s="1"/>
      <c r="I96" s="1"/>
      <c r="J96" s="1"/>
    </row>
    <row r="97" spans="1:10">
      <c r="A97" s="5">
        <v>93</v>
      </c>
      <c r="B97" s="9"/>
      <c r="C97" s="9"/>
      <c r="D97" s="35"/>
      <c r="E97" s="5"/>
      <c r="F97" s="9"/>
      <c r="G97" s="27"/>
      <c r="H97" s="1"/>
      <c r="I97" s="1"/>
      <c r="J97" s="1"/>
    </row>
    <row r="98" spans="1:10">
      <c r="A98" s="5">
        <v>94</v>
      </c>
      <c r="B98" s="9"/>
      <c r="C98" s="9"/>
      <c r="D98" s="35"/>
      <c r="E98" s="5"/>
      <c r="F98" s="9"/>
      <c r="G98" s="27"/>
      <c r="H98" s="1"/>
      <c r="I98" s="1"/>
      <c r="J98" s="1"/>
    </row>
    <row r="99" spans="1:10">
      <c r="A99" s="5">
        <v>95</v>
      </c>
      <c r="B99" s="9"/>
      <c r="C99" s="9"/>
      <c r="D99" s="35"/>
      <c r="E99" s="5"/>
      <c r="F99" s="9"/>
      <c r="G99" s="27"/>
      <c r="H99" s="1"/>
      <c r="I99" s="1"/>
      <c r="J99" s="1"/>
    </row>
    <row r="100" spans="1:10">
      <c r="A100" s="5">
        <v>96</v>
      </c>
      <c r="B100" s="9"/>
      <c r="C100" s="9"/>
      <c r="D100" s="35"/>
      <c r="E100" s="5"/>
      <c r="F100" s="9"/>
      <c r="G100" s="27"/>
      <c r="H100" s="1"/>
      <c r="I100" s="1"/>
      <c r="J100" s="1"/>
    </row>
    <row r="101" spans="1:10">
      <c r="A101" s="5">
        <v>97</v>
      </c>
      <c r="B101" s="9"/>
      <c r="C101" s="9"/>
      <c r="D101" s="35"/>
      <c r="E101" s="5"/>
      <c r="F101" s="9"/>
      <c r="G101" s="27"/>
      <c r="H101" s="1"/>
      <c r="I101" s="1"/>
      <c r="J101" s="1"/>
    </row>
    <row r="102" spans="1:10">
      <c r="A102" s="5">
        <v>98</v>
      </c>
      <c r="B102" s="9"/>
      <c r="C102" s="9"/>
      <c r="D102" s="35"/>
      <c r="E102" s="5"/>
      <c r="F102" s="9"/>
      <c r="G102" s="27"/>
      <c r="H102" s="1"/>
      <c r="I102" s="1"/>
      <c r="J102" s="1"/>
    </row>
    <row r="103" spans="1:10">
      <c r="A103" s="5">
        <v>99</v>
      </c>
      <c r="B103" s="9"/>
      <c r="C103" s="9"/>
      <c r="D103" s="35"/>
      <c r="E103" s="5"/>
      <c r="F103" s="9"/>
      <c r="G103" s="27"/>
      <c r="H103" s="1"/>
      <c r="I103" s="1"/>
      <c r="J103" s="1"/>
    </row>
    <row r="104" spans="1:10">
      <c r="A104" s="5">
        <v>100</v>
      </c>
      <c r="B104" s="9"/>
      <c r="C104" s="9"/>
      <c r="D104" s="35"/>
      <c r="E104" s="5"/>
      <c r="F104" s="9"/>
      <c r="G104" s="27"/>
      <c r="H104" s="1"/>
      <c r="I104" s="1"/>
      <c r="J104" s="1"/>
    </row>
    <row r="105" spans="1:10">
      <c r="A105" s="5">
        <v>101</v>
      </c>
      <c r="B105" s="9"/>
      <c r="C105" s="9"/>
      <c r="D105" s="35"/>
      <c r="E105" s="5"/>
      <c r="F105" s="9"/>
      <c r="G105" s="27"/>
      <c r="H105" s="1"/>
      <c r="I105" s="1"/>
      <c r="J105" s="1"/>
    </row>
    <row r="106" spans="1:10">
      <c r="A106" s="5">
        <v>102</v>
      </c>
      <c r="B106" s="9"/>
      <c r="C106" s="9"/>
      <c r="D106" s="35"/>
      <c r="E106" s="5"/>
      <c r="F106" s="9"/>
      <c r="G106" s="27"/>
      <c r="H106" s="1"/>
      <c r="I106" s="1"/>
      <c r="J106" s="1"/>
    </row>
    <row r="107" spans="1:10">
      <c r="A107" s="5">
        <v>103</v>
      </c>
      <c r="B107" s="9"/>
      <c r="C107" s="9"/>
      <c r="D107" s="35"/>
      <c r="E107" s="5"/>
      <c r="F107" s="9"/>
      <c r="G107" s="27"/>
      <c r="H107" s="1"/>
      <c r="I107" s="1"/>
      <c r="J107" s="1"/>
    </row>
    <row r="108" spans="1:10">
      <c r="A108" s="5">
        <v>104</v>
      </c>
      <c r="B108" s="9"/>
      <c r="C108" s="9"/>
      <c r="D108" s="35"/>
      <c r="E108" s="5"/>
      <c r="F108" s="9"/>
      <c r="G108" s="27"/>
      <c r="H108" s="1"/>
      <c r="I108" s="1"/>
      <c r="J108" s="1"/>
    </row>
    <row r="109" spans="1:10">
      <c r="A109" s="5">
        <v>105</v>
      </c>
      <c r="B109" s="9"/>
      <c r="C109" s="9"/>
      <c r="D109" s="35"/>
      <c r="E109" s="5"/>
      <c r="F109" s="9"/>
      <c r="G109" s="27"/>
      <c r="H109" s="1"/>
      <c r="I109" s="1"/>
      <c r="J109" s="1"/>
    </row>
    <row r="110" spans="1:10">
      <c r="A110" s="5">
        <v>106</v>
      </c>
      <c r="B110" s="9"/>
      <c r="C110" s="9"/>
      <c r="D110" s="35"/>
      <c r="E110" s="5"/>
      <c r="F110" s="9"/>
      <c r="G110" s="27"/>
      <c r="H110" s="1"/>
      <c r="I110" s="1"/>
      <c r="J110" s="1"/>
    </row>
    <row r="111" spans="1:10">
      <c r="A111" s="5">
        <v>107</v>
      </c>
      <c r="B111" s="9"/>
      <c r="C111" s="9"/>
      <c r="D111" s="35"/>
      <c r="E111" s="5"/>
      <c r="F111" s="9"/>
      <c r="G111" s="27"/>
      <c r="H111" s="1"/>
      <c r="I111" s="1"/>
      <c r="J111" s="1"/>
    </row>
    <row r="112" spans="1:10">
      <c r="A112" s="5">
        <v>108</v>
      </c>
      <c r="B112" s="9"/>
      <c r="C112" s="9"/>
      <c r="D112" s="35"/>
      <c r="E112" s="5"/>
      <c r="F112" s="9"/>
      <c r="G112" s="27"/>
      <c r="H112" s="1"/>
      <c r="I112" s="1"/>
      <c r="J112" s="1"/>
    </row>
    <row r="113" spans="1:10">
      <c r="A113" s="5">
        <v>109</v>
      </c>
      <c r="B113" s="9"/>
      <c r="C113" s="9"/>
      <c r="D113" s="35"/>
      <c r="E113" s="5"/>
      <c r="F113" s="9"/>
      <c r="G113" s="27"/>
      <c r="H113" s="1"/>
      <c r="I113" s="1"/>
      <c r="J113" s="1"/>
    </row>
    <row r="114" spans="1:10">
      <c r="A114" s="5">
        <v>110</v>
      </c>
      <c r="B114" s="9"/>
      <c r="C114" s="9"/>
      <c r="D114" s="35"/>
      <c r="E114" s="5"/>
      <c r="F114" s="9"/>
      <c r="G114" s="27"/>
      <c r="H114" s="1"/>
      <c r="I114" s="1"/>
      <c r="J114" s="1"/>
    </row>
    <row r="115" spans="1:10">
      <c r="A115" s="5">
        <v>111</v>
      </c>
      <c r="B115" s="9"/>
      <c r="C115" s="9"/>
      <c r="D115" s="35"/>
      <c r="E115" s="5"/>
      <c r="F115" s="9"/>
      <c r="G115" s="27"/>
      <c r="H115" s="1"/>
      <c r="I115" s="1"/>
      <c r="J115" s="1"/>
    </row>
    <row r="116" spans="1:10">
      <c r="A116" s="5">
        <v>112</v>
      </c>
      <c r="B116" s="9"/>
      <c r="C116" s="9"/>
      <c r="D116" s="35"/>
      <c r="E116" s="5"/>
      <c r="F116" s="9"/>
      <c r="G116" s="27"/>
      <c r="H116" s="1"/>
      <c r="I116" s="1"/>
      <c r="J116" s="1"/>
    </row>
    <row r="117" spans="1:10">
      <c r="A117" s="5">
        <v>113</v>
      </c>
      <c r="B117" s="9"/>
      <c r="C117" s="9"/>
      <c r="D117" s="35"/>
      <c r="E117" s="5"/>
      <c r="F117" s="9"/>
      <c r="G117" s="27"/>
      <c r="H117" s="1"/>
      <c r="I117" s="1"/>
      <c r="J117" s="1"/>
    </row>
    <row r="118" spans="1:10">
      <c r="A118" s="5">
        <v>114</v>
      </c>
      <c r="B118" s="9"/>
      <c r="C118" s="9"/>
      <c r="D118" s="35"/>
      <c r="E118" s="5"/>
      <c r="F118" s="9"/>
      <c r="G118" s="27"/>
      <c r="H118" s="1"/>
      <c r="I118" s="1"/>
      <c r="J118" s="1"/>
    </row>
    <row r="119" spans="1:10">
      <c r="A119" s="5">
        <v>115</v>
      </c>
      <c r="B119" s="9"/>
      <c r="C119" s="9"/>
      <c r="D119" s="35"/>
      <c r="E119" s="5"/>
      <c r="F119" s="9"/>
      <c r="G119" s="27"/>
      <c r="H119" s="1"/>
      <c r="I119" s="1"/>
      <c r="J119" s="1"/>
    </row>
    <row r="120" spans="1:10">
      <c r="A120" s="5">
        <v>116</v>
      </c>
      <c r="B120" s="9"/>
      <c r="C120" s="9"/>
      <c r="D120" s="35"/>
      <c r="E120" s="5"/>
      <c r="F120" s="9"/>
      <c r="G120" s="27"/>
      <c r="H120" s="1"/>
      <c r="I120" s="1"/>
      <c r="J120" s="1"/>
    </row>
    <row r="121" spans="1:10">
      <c r="A121" s="5">
        <v>117</v>
      </c>
      <c r="B121" s="9"/>
      <c r="C121" s="9"/>
      <c r="D121" s="35"/>
      <c r="E121" s="5"/>
      <c r="F121" s="9"/>
      <c r="G121" s="27"/>
      <c r="H121" s="1"/>
      <c r="I121" s="1"/>
      <c r="J121" s="1"/>
    </row>
    <row r="122" spans="1:10">
      <c r="A122" s="5">
        <v>118</v>
      </c>
      <c r="B122" s="9"/>
      <c r="C122" s="9"/>
      <c r="D122" s="35"/>
      <c r="E122" s="5"/>
      <c r="F122" s="9"/>
      <c r="G122" s="27"/>
      <c r="H122" s="1"/>
      <c r="I122" s="1"/>
      <c r="J122" s="1"/>
    </row>
    <row r="123" spans="1:10">
      <c r="A123" s="5">
        <v>119</v>
      </c>
      <c r="B123" s="9"/>
      <c r="C123" s="9"/>
      <c r="D123" s="35"/>
      <c r="E123" s="5"/>
      <c r="F123" s="9"/>
      <c r="G123" s="27"/>
      <c r="H123" s="1"/>
      <c r="I123" s="1"/>
      <c r="J123" s="1"/>
    </row>
    <row r="124" spans="1:10">
      <c r="A124" s="5">
        <v>120</v>
      </c>
      <c r="B124" s="9"/>
      <c r="C124" s="9"/>
      <c r="D124" s="35"/>
      <c r="E124" s="5"/>
      <c r="F124" s="9"/>
      <c r="G124" s="27"/>
      <c r="H124" s="1"/>
      <c r="I124" s="1"/>
      <c r="J124" s="1"/>
    </row>
    <row r="125" spans="1:10">
      <c r="A125" s="5">
        <v>121</v>
      </c>
      <c r="B125" s="9"/>
      <c r="C125" s="9"/>
      <c r="D125" s="35"/>
      <c r="E125" s="5"/>
      <c r="F125" s="9"/>
      <c r="G125" s="27"/>
      <c r="H125" s="1"/>
      <c r="I125" s="1"/>
      <c r="J125" s="1"/>
    </row>
    <row r="126" spans="1:10">
      <c r="A126" s="5">
        <v>122</v>
      </c>
      <c r="B126" s="9"/>
      <c r="C126" s="9"/>
      <c r="D126" s="35"/>
      <c r="E126" s="5"/>
      <c r="F126" s="9"/>
      <c r="G126" s="27"/>
      <c r="H126" s="1"/>
      <c r="I126" s="1"/>
      <c r="J126" s="1"/>
    </row>
    <row r="127" spans="1:10">
      <c r="A127" s="5">
        <v>123</v>
      </c>
      <c r="B127" s="9"/>
      <c r="C127" s="9"/>
      <c r="D127" s="35"/>
      <c r="E127" s="5"/>
      <c r="F127" s="9"/>
      <c r="G127" s="27"/>
      <c r="H127" s="1"/>
      <c r="I127" s="1"/>
      <c r="J127" s="1"/>
    </row>
    <row r="128" spans="1:10">
      <c r="A128" s="5">
        <v>124</v>
      </c>
      <c r="B128" s="9"/>
      <c r="C128" s="9"/>
      <c r="D128" s="35"/>
      <c r="E128" s="5"/>
      <c r="F128" s="9"/>
      <c r="G128" s="27"/>
      <c r="H128" s="1"/>
      <c r="I128" s="1"/>
      <c r="J128" s="1"/>
    </row>
    <row r="129" spans="1:10">
      <c r="A129" s="5">
        <v>125</v>
      </c>
      <c r="B129" s="9"/>
      <c r="C129" s="9"/>
      <c r="D129" s="35"/>
      <c r="E129" s="5"/>
      <c r="F129" s="9"/>
      <c r="G129" s="27"/>
      <c r="H129" s="1"/>
      <c r="I129" s="1"/>
      <c r="J129" s="1"/>
    </row>
    <row r="130" spans="1:10">
      <c r="A130" s="5">
        <v>126</v>
      </c>
      <c r="B130" s="9"/>
      <c r="C130" s="9"/>
      <c r="D130" s="35"/>
      <c r="E130" s="5"/>
      <c r="F130" s="9"/>
      <c r="G130" s="27"/>
      <c r="H130" s="1"/>
      <c r="I130" s="1"/>
      <c r="J130" s="1"/>
    </row>
    <row r="131" spans="1:10">
      <c r="A131" s="5">
        <v>127</v>
      </c>
      <c r="B131" s="9"/>
      <c r="C131" s="9"/>
      <c r="D131" s="35"/>
      <c r="E131" s="5"/>
      <c r="F131" s="9"/>
      <c r="G131" s="27"/>
      <c r="H131" s="1"/>
      <c r="I131" s="1"/>
      <c r="J131" s="1"/>
    </row>
    <row r="132" spans="1:10">
      <c r="A132" s="5">
        <v>128</v>
      </c>
      <c r="B132" s="9"/>
      <c r="C132" s="9"/>
      <c r="D132" s="35"/>
      <c r="E132" s="5"/>
      <c r="F132" s="9"/>
      <c r="G132" s="27"/>
      <c r="H132" s="1"/>
      <c r="I132" s="1"/>
      <c r="J132" s="1"/>
    </row>
    <row r="133" spans="1:10">
      <c r="A133" s="5">
        <v>129</v>
      </c>
      <c r="B133" s="9"/>
      <c r="C133" s="9"/>
      <c r="D133" s="35"/>
      <c r="E133" s="5"/>
      <c r="F133" s="9"/>
      <c r="G133" s="27"/>
      <c r="H133" s="1"/>
      <c r="I133" s="1"/>
      <c r="J133" s="1"/>
    </row>
    <row r="134" spans="1:10">
      <c r="A134" s="5">
        <v>130</v>
      </c>
      <c r="B134" s="9"/>
      <c r="C134" s="9"/>
      <c r="D134" s="35"/>
      <c r="E134" s="5"/>
      <c r="F134" s="9"/>
      <c r="G134" s="27"/>
      <c r="H134" s="1"/>
      <c r="I134" s="1"/>
      <c r="J134" s="1"/>
    </row>
    <row r="135" spans="1:10">
      <c r="A135" s="5">
        <v>131</v>
      </c>
      <c r="B135" s="9"/>
      <c r="C135" s="9"/>
      <c r="D135" s="35"/>
      <c r="E135" s="5"/>
      <c r="F135" s="9"/>
      <c r="G135" s="27"/>
      <c r="H135" s="1"/>
      <c r="I135" s="1"/>
      <c r="J135" s="1"/>
    </row>
    <row r="136" spans="1:10">
      <c r="A136" s="5">
        <v>132</v>
      </c>
      <c r="B136" s="9"/>
      <c r="C136" s="9"/>
      <c r="D136" s="35"/>
      <c r="E136" s="5"/>
      <c r="F136" s="9"/>
      <c r="G136" s="27"/>
      <c r="H136" s="1"/>
      <c r="I136" s="1"/>
      <c r="J136" s="1"/>
    </row>
    <row r="137" spans="1:10">
      <c r="A137" s="5">
        <v>133</v>
      </c>
      <c r="B137" s="9"/>
      <c r="C137" s="9"/>
      <c r="D137" s="35"/>
      <c r="E137" s="5"/>
      <c r="F137" s="9"/>
      <c r="G137" s="27"/>
      <c r="H137" s="1"/>
      <c r="I137" s="1"/>
      <c r="J137" s="1"/>
    </row>
    <row r="138" spans="1:10">
      <c r="A138" s="5">
        <v>134</v>
      </c>
      <c r="B138" s="9"/>
      <c r="C138" s="9"/>
      <c r="D138" s="35"/>
      <c r="E138" s="5"/>
      <c r="F138" s="9"/>
      <c r="G138" s="27"/>
      <c r="H138" s="1"/>
      <c r="I138" s="1"/>
      <c r="J138" s="1"/>
    </row>
    <row r="139" spans="1:10">
      <c r="A139" s="5">
        <v>135</v>
      </c>
      <c r="B139" s="9"/>
      <c r="C139" s="9"/>
      <c r="D139" s="35"/>
      <c r="E139" s="5"/>
      <c r="F139" s="9"/>
      <c r="G139" s="27"/>
      <c r="H139" s="1"/>
      <c r="I139" s="1"/>
      <c r="J139" s="1"/>
    </row>
    <row r="140" spans="1:10">
      <c r="A140" s="5">
        <v>136</v>
      </c>
      <c r="B140" s="9"/>
      <c r="C140" s="9"/>
      <c r="D140" s="35"/>
      <c r="E140" s="5"/>
      <c r="F140" s="9"/>
      <c r="G140" s="27"/>
      <c r="H140" s="1"/>
      <c r="I140" s="1"/>
      <c r="J140" s="1"/>
    </row>
    <row r="141" spans="1:10">
      <c r="A141" s="5">
        <v>137</v>
      </c>
      <c r="B141" s="9"/>
      <c r="C141" s="9"/>
      <c r="D141" s="35"/>
      <c r="E141" s="5"/>
      <c r="F141" s="9"/>
      <c r="G141" s="27"/>
      <c r="H141" s="1"/>
      <c r="I141" s="1"/>
      <c r="J141" s="1"/>
    </row>
    <row r="142" spans="1:10">
      <c r="A142" s="5">
        <v>138</v>
      </c>
      <c r="B142" s="9"/>
      <c r="C142" s="9"/>
      <c r="D142" s="35"/>
      <c r="E142" s="5"/>
      <c r="F142" s="9"/>
      <c r="G142" s="27"/>
      <c r="H142" s="1"/>
      <c r="I142" s="1"/>
      <c r="J142" s="1"/>
    </row>
    <row r="143" spans="1:10">
      <c r="A143" s="5">
        <v>139</v>
      </c>
      <c r="B143" s="9"/>
      <c r="C143" s="9"/>
      <c r="D143" s="35"/>
      <c r="E143" s="5"/>
      <c r="F143" s="9"/>
      <c r="G143" s="27"/>
      <c r="H143" s="1"/>
      <c r="I143" s="1"/>
      <c r="J143" s="1"/>
    </row>
    <row r="144" spans="1:10">
      <c r="A144" s="5">
        <v>140</v>
      </c>
      <c r="B144" s="9"/>
      <c r="C144" s="9"/>
      <c r="D144" s="35"/>
      <c r="E144" s="5"/>
      <c r="F144" s="9"/>
      <c r="G144" s="27"/>
      <c r="H144" s="1"/>
      <c r="I144" s="1"/>
      <c r="J144" s="1"/>
    </row>
    <row r="145" spans="1:10">
      <c r="A145" s="5">
        <v>141</v>
      </c>
      <c r="B145" s="9"/>
      <c r="C145" s="9"/>
      <c r="D145" s="35"/>
      <c r="E145" s="5"/>
      <c r="F145" s="9"/>
      <c r="G145" s="27"/>
      <c r="H145" s="1"/>
      <c r="I145" s="1"/>
      <c r="J145" s="1"/>
    </row>
    <row r="146" spans="1:10">
      <c r="A146" s="5">
        <v>142</v>
      </c>
      <c r="B146" s="9"/>
      <c r="C146" s="9"/>
      <c r="D146" s="35"/>
      <c r="E146" s="5"/>
      <c r="F146" s="9"/>
      <c r="G146" s="27"/>
      <c r="H146" s="1"/>
      <c r="I146" s="1"/>
      <c r="J146" s="1"/>
    </row>
    <row r="147" spans="1:10">
      <c r="A147" s="5">
        <v>143</v>
      </c>
      <c r="B147" s="9"/>
      <c r="C147" s="9"/>
      <c r="D147" s="35"/>
      <c r="E147" s="5"/>
      <c r="F147" s="9"/>
      <c r="G147" s="27"/>
      <c r="H147" s="1"/>
      <c r="I147" s="1"/>
      <c r="J147" s="1"/>
    </row>
    <row r="148" spans="1:10">
      <c r="A148" s="5">
        <v>144</v>
      </c>
      <c r="B148" s="9"/>
      <c r="C148" s="9"/>
      <c r="D148" s="35"/>
      <c r="E148" s="5"/>
      <c r="F148" s="9"/>
      <c r="G148" s="27"/>
      <c r="H148" s="1"/>
      <c r="I148" s="1"/>
      <c r="J148" s="1"/>
    </row>
    <row r="149" spans="1:10">
      <c r="A149" s="5">
        <v>145</v>
      </c>
      <c r="B149" s="9"/>
      <c r="C149" s="9"/>
      <c r="D149" s="35"/>
      <c r="E149" s="5"/>
      <c r="F149" s="9"/>
      <c r="G149" s="27"/>
      <c r="H149" s="1"/>
      <c r="I149" s="1"/>
      <c r="J149" s="1"/>
    </row>
    <row r="150" spans="1:10">
      <c r="A150" s="5">
        <v>146</v>
      </c>
      <c r="B150" s="9"/>
      <c r="C150" s="9"/>
      <c r="D150" s="35"/>
      <c r="E150" s="5"/>
      <c r="F150" s="9"/>
      <c r="G150" s="27"/>
      <c r="H150" s="1"/>
      <c r="I150" s="1"/>
      <c r="J150" s="1"/>
    </row>
    <row r="151" spans="1:10">
      <c r="A151" s="5">
        <v>147</v>
      </c>
      <c r="B151" s="9"/>
      <c r="C151" s="9"/>
      <c r="D151" s="35"/>
      <c r="E151" s="5"/>
      <c r="F151" s="9"/>
      <c r="G151" s="27"/>
      <c r="H151" s="1"/>
      <c r="I151" s="1"/>
      <c r="J151" s="1"/>
    </row>
    <row r="152" spans="1:10">
      <c r="A152" s="5">
        <v>148</v>
      </c>
      <c r="B152" s="9"/>
      <c r="C152" s="9"/>
      <c r="D152" s="35"/>
      <c r="E152" s="5"/>
      <c r="F152" s="9"/>
      <c r="G152" s="27"/>
      <c r="H152" s="1"/>
      <c r="I152" s="1"/>
      <c r="J152" s="1"/>
    </row>
    <row r="153" spans="1:10">
      <c r="A153" s="5">
        <v>149</v>
      </c>
      <c r="B153" s="9"/>
      <c r="C153" s="9"/>
      <c r="D153" s="35"/>
      <c r="E153" s="5"/>
      <c r="F153" s="9"/>
      <c r="G153" s="27"/>
      <c r="H153" s="1"/>
      <c r="I153" s="1"/>
      <c r="J153" s="1"/>
    </row>
    <row r="154" spans="1:10">
      <c r="A154" s="5">
        <v>150</v>
      </c>
      <c r="B154" s="9"/>
      <c r="C154" s="9"/>
      <c r="D154" s="35"/>
      <c r="E154" s="5"/>
      <c r="F154" s="9"/>
      <c r="G154" s="27"/>
      <c r="H154" s="1"/>
      <c r="I154" s="1"/>
      <c r="J154" s="1"/>
    </row>
    <row r="155" spans="1:10">
      <c r="A155" s="5">
        <v>151</v>
      </c>
      <c r="B155" s="9"/>
      <c r="C155" s="9"/>
      <c r="D155" s="35"/>
      <c r="E155" s="5"/>
      <c r="F155" s="9"/>
      <c r="G155" s="27"/>
      <c r="H155" s="1"/>
      <c r="I155" s="1"/>
      <c r="J155" s="1"/>
    </row>
    <row r="156" spans="1:10">
      <c r="A156" s="5">
        <v>152</v>
      </c>
      <c r="B156" s="9"/>
      <c r="C156" s="9"/>
      <c r="D156" s="35"/>
      <c r="E156" s="5"/>
      <c r="F156" s="9"/>
      <c r="G156" s="27"/>
      <c r="H156" s="1"/>
      <c r="I156" s="1"/>
      <c r="J156" s="1"/>
    </row>
    <row r="157" spans="1:10">
      <c r="A157" s="5">
        <v>153</v>
      </c>
      <c r="B157" s="9"/>
      <c r="C157" s="9"/>
      <c r="D157" s="35"/>
      <c r="E157" s="5"/>
      <c r="F157" s="9"/>
      <c r="G157" s="27"/>
      <c r="H157" s="1"/>
      <c r="I157" s="1"/>
      <c r="J157" s="1"/>
    </row>
    <row r="158" spans="1:10">
      <c r="A158" s="5">
        <v>154</v>
      </c>
      <c r="B158" s="9"/>
      <c r="C158" s="9"/>
      <c r="D158" s="35"/>
      <c r="E158" s="5"/>
      <c r="F158" s="9"/>
      <c r="G158" s="27"/>
      <c r="H158" s="1"/>
      <c r="I158" s="1"/>
      <c r="J158" s="1"/>
    </row>
    <row r="159" spans="1:10">
      <c r="A159" s="5">
        <v>155</v>
      </c>
      <c r="B159" s="9"/>
      <c r="C159" s="9"/>
      <c r="D159" s="35"/>
      <c r="E159" s="5"/>
      <c r="F159" s="9"/>
      <c r="G159" s="27"/>
      <c r="H159" s="1"/>
      <c r="I159" s="1"/>
      <c r="J159" s="1"/>
    </row>
    <row r="160" spans="1:10">
      <c r="A160" s="5">
        <v>156</v>
      </c>
      <c r="B160" s="9"/>
      <c r="C160" s="9"/>
      <c r="D160" s="35"/>
      <c r="E160" s="5"/>
      <c r="F160" s="9"/>
      <c r="G160" s="27"/>
      <c r="H160" s="1"/>
      <c r="I160" s="1"/>
      <c r="J160" s="1"/>
    </row>
    <row r="161" spans="1:10">
      <c r="A161" s="5">
        <v>157</v>
      </c>
      <c r="B161" s="9"/>
      <c r="C161" s="9"/>
      <c r="D161" s="35"/>
      <c r="E161" s="5"/>
      <c r="F161" s="9"/>
      <c r="G161" s="27"/>
      <c r="H161" s="1"/>
      <c r="I161" s="1"/>
      <c r="J161" s="1"/>
    </row>
    <row r="162" spans="1:10">
      <c r="A162" s="5">
        <v>158</v>
      </c>
      <c r="B162" s="9"/>
      <c r="C162" s="9"/>
      <c r="D162" s="35"/>
      <c r="E162" s="5"/>
      <c r="F162" s="9"/>
      <c r="G162" s="27"/>
      <c r="H162" s="1"/>
      <c r="I162" s="1"/>
      <c r="J162" s="1"/>
    </row>
    <row r="163" spans="1:10">
      <c r="A163" s="5">
        <v>159</v>
      </c>
      <c r="B163" s="9"/>
      <c r="C163" s="9"/>
      <c r="D163" s="35"/>
      <c r="E163" s="5"/>
      <c r="F163" s="9"/>
      <c r="G163" s="27"/>
      <c r="H163" s="1"/>
      <c r="I163" s="1"/>
      <c r="J163" s="1"/>
    </row>
    <row r="164" spans="1:10">
      <c r="A164" s="5">
        <v>160</v>
      </c>
      <c r="B164" s="9"/>
      <c r="C164" s="9"/>
      <c r="D164" s="35"/>
      <c r="E164" s="5"/>
      <c r="F164" s="9"/>
      <c r="G164" s="27"/>
      <c r="H164" s="1"/>
      <c r="I164" s="1"/>
      <c r="J164" s="1"/>
    </row>
    <row r="165" spans="1:10">
      <c r="A165" s="5">
        <v>161</v>
      </c>
      <c r="B165" s="9"/>
      <c r="C165" s="9"/>
      <c r="D165" s="35"/>
      <c r="E165" s="5"/>
      <c r="F165" s="9"/>
      <c r="G165" s="27"/>
      <c r="H165" s="1"/>
      <c r="I165" s="1"/>
      <c r="J165" s="1"/>
    </row>
    <row r="166" spans="1:10">
      <c r="A166" s="5">
        <v>162</v>
      </c>
      <c r="B166" s="9"/>
      <c r="C166" s="9"/>
      <c r="D166" s="35"/>
      <c r="E166" s="5"/>
      <c r="F166" s="9"/>
      <c r="G166" s="27"/>
      <c r="H166" s="1"/>
      <c r="I166" s="1"/>
      <c r="J166" s="1"/>
    </row>
    <row r="167" spans="1:10">
      <c r="A167" s="5">
        <v>163</v>
      </c>
      <c r="B167" s="9"/>
      <c r="C167" s="9"/>
      <c r="D167" s="35"/>
      <c r="E167" s="5"/>
      <c r="F167" s="9"/>
      <c r="G167" s="27"/>
      <c r="H167" s="1"/>
      <c r="I167" s="1"/>
      <c r="J167" s="1"/>
    </row>
    <row r="168" spans="1:10">
      <c r="A168" s="5">
        <v>164</v>
      </c>
      <c r="B168" s="9"/>
      <c r="C168" s="9"/>
      <c r="D168" s="35"/>
      <c r="E168" s="5"/>
      <c r="F168" s="9"/>
      <c r="G168" s="27"/>
      <c r="H168" s="1"/>
      <c r="I168" s="1"/>
      <c r="J168" s="1"/>
    </row>
    <row r="169" spans="1:10">
      <c r="A169" s="5">
        <v>165</v>
      </c>
      <c r="B169" s="9"/>
      <c r="C169" s="9"/>
      <c r="D169" s="35"/>
      <c r="E169" s="5"/>
      <c r="F169" s="9"/>
      <c r="G169" s="27"/>
      <c r="H169" s="1"/>
      <c r="I169" s="1"/>
      <c r="J169" s="1"/>
    </row>
    <row r="170" spans="1:10">
      <c r="A170" s="5">
        <v>166</v>
      </c>
      <c r="B170" s="9"/>
      <c r="C170" s="9"/>
      <c r="D170" s="35"/>
      <c r="E170" s="5"/>
      <c r="F170" s="9"/>
      <c r="G170" s="27"/>
      <c r="H170" s="1"/>
      <c r="I170" s="1"/>
      <c r="J170" s="1"/>
    </row>
    <row r="171" spans="1:10">
      <c r="A171" s="5">
        <v>167</v>
      </c>
      <c r="B171" s="9"/>
      <c r="C171" s="9"/>
      <c r="D171" s="35"/>
      <c r="E171" s="5"/>
      <c r="F171" s="9"/>
      <c r="G171" s="27"/>
      <c r="H171" s="1"/>
      <c r="I171" s="1"/>
      <c r="J171" s="1"/>
    </row>
    <row r="172" spans="1:10">
      <c r="A172" s="5">
        <v>168</v>
      </c>
      <c r="B172" s="9"/>
      <c r="C172" s="9"/>
      <c r="D172" s="35"/>
      <c r="E172" s="5"/>
      <c r="F172" s="9"/>
      <c r="G172" s="27"/>
      <c r="H172" s="1"/>
      <c r="I172" s="1"/>
      <c r="J172" s="1"/>
    </row>
    <row r="173" spans="1:10">
      <c r="A173" s="5">
        <v>169</v>
      </c>
      <c r="B173" s="9"/>
      <c r="C173" s="9"/>
      <c r="D173" s="35"/>
      <c r="E173" s="5"/>
      <c r="F173" s="9"/>
      <c r="G173" s="27"/>
      <c r="H173" s="1"/>
      <c r="I173" s="1"/>
      <c r="J173" s="1"/>
    </row>
    <row r="174" spans="1:10">
      <c r="A174" s="5">
        <v>170</v>
      </c>
      <c r="B174" s="9"/>
      <c r="C174" s="9"/>
      <c r="D174" s="35"/>
      <c r="E174" s="5"/>
      <c r="F174" s="9"/>
      <c r="G174" s="27"/>
      <c r="H174" s="1"/>
      <c r="I174" s="1"/>
      <c r="J174" s="1"/>
    </row>
    <row r="175" spans="1:10">
      <c r="A175" s="5">
        <v>171</v>
      </c>
      <c r="B175" s="9"/>
      <c r="C175" s="9"/>
      <c r="D175" s="35"/>
      <c r="E175" s="5"/>
      <c r="F175" s="9"/>
      <c r="G175" s="27"/>
      <c r="H175" s="1"/>
      <c r="I175" s="1"/>
      <c r="J175" s="1"/>
    </row>
    <row r="176" spans="1:10">
      <c r="A176" s="5">
        <v>172</v>
      </c>
      <c r="B176" s="9"/>
      <c r="C176" s="9"/>
      <c r="D176" s="35"/>
      <c r="E176" s="5"/>
      <c r="F176" s="9"/>
      <c r="G176" s="27"/>
      <c r="H176" s="1"/>
      <c r="I176" s="1"/>
      <c r="J176" s="1"/>
    </row>
    <row r="177" spans="1:10">
      <c r="A177" s="5">
        <v>173</v>
      </c>
      <c r="B177" s="9"/>
      <c r="C177" s="9"/>
      <c r="D177" s="35"/>
      <c r="E177" s="5"/>
      <c r="F177" s="9"/>
      <c r="G177" s="27"/>
      <c r="H177" s="1"/>
      <c r="I177" s="1"/>
      <c r="J177" s="1"/>
    </row>
    <row r="178" spans="1:10">
      <c r="A178" s="5">
        <v>174</v>
      </c>
      <c r="B178" s="9"/>
      <c r="C178" s="9"/>
      <c r="D178" s="35"/>
      <c r="E178" s="5"/>
      <c r="F178" s="9"/>
      <c r="G178" s="27"/>
      <c r="H178" s="1"/>
      <c r="I178" s="1"/>
      <c r="J178" s="1"/>
    </row>
    <row r="179" spans="1:10">
      <c r="A179" s="5">
        <v>175</v>
      </c>
      <c r="B179" s="9"/>
      <c r="C179" s="9"/>
      <c r="D179" s="35"/>
      <c r="E179" s="5"/>
      <c r="F179" s="9"/>
      <c r="G179" s="27"/>
      <c r="H179" s="1"/>
      <c r="I179" s="1"/>
      <c r="J179" s="1"/>
    </row>
    <row r="180" spans="1:10">
      <c r="A180" s="5">
        <v>176</v>
      </c>
      <c r="B180" s="9"/>
      <c r="C180" s="9"/>
      <c r="D180" s="35"/>
      <c r="E180" s="5"/>
      <c r="F180" s="9"/>
      <c r="G180" s="27"/>
      <c r="H180" s="1"/>
      <c r="I180" s="1"/>
      <c r="J180" s="1"/>
    </row>
    <row r="181" spans="1:10">
      <c r="A181" s="5">
        <v>177</v>
      </c>
      <c r="B181" s="9"/>
      <c r="C181" s="9"/>
      <c r="D181" s="35"/>
      <c r="E181" s="5"/>
      <c r="F181" s="9"/>
      <c r="G181" s="27"/>
      <c r="H181" s="1"/>
      <c r="I181" s="1"/>
      <c r="J181" s="1"/>
    </row>
    <row r="182" spans="1:10">
      <c r="A182" s="5">
        <v>178</v>
      </c>
      <c r="B182" s="9"/>
      <c r="C182" s="9"/>
      <c r="D182" s="35"/>
      <c r="E182" s="5"/>
      <c r="F182" s="9"/>
      <c r="G182" s="27"/>
      <c r="H182" s="1"/>
      <c r="I182" s="1"/>
      <c r="J182" s="1"/>
    </row>
    <row r="183" spans="1:10">
      <c r="A183" s="5">
        <v>179</v>
      </c>
      <c r="B183" s="9"/>
      <c r="C183" s="9"/>
      <c r="D183" s="35"/>
      <c r="E183" s="5"/>
      <c r="F183" s="9"/>
      <c r="G183" s="27"/>
      <c r="H183" s="1"/>
      <c r="I183" s="1"/>
      <c r="J183" s="1"/>
    </row>
    <row r="184" spans="1:10">
      <c r="A184" s="5">
        <v>180</v>
      </c>
      <c r="B184" s="9"/>
      <c r="C184" s="9"/>
      <c r="D184" s="35"/>
      <c r="E184" s="5"/>
      <c r="F184" s="9"/>
      <c r="G184" s="27"/>
      <c r="H184" s="1"/>
      <c r="I184" s="1"/>
      <c r="J184" s="1"/>
    </row>
    <row r="185" spans="1:10">
      <c r="A185" s="5">
        <v>181</v>
      </c>
      <c r="B185" s="9"/>
      <c r="C185" s="9"/>
      <c r="D185" s="35"/>
      <c r="E185" s="5"/>
      <c r="F185" s="9"/>
      <c r="G185" s="27"/>
      <c r="H185" s="1"/>
      <c r="I185" s="1"/>
      <c r="J185" s="1"/>
    </row>
    <row r="186" spans="1:10">
      <c r="A186" s="5">
        <v>182</v>
      </c>
      <c r="B186" s="9"/>
      <c r="C186" s="9"/>
      <c r="D186" s="35"/>
      <c r="E186" s="5"/>
      <c r="F186" s="9"/>
      <c r="G186" s="27"/>
      <c r="H186" s="1"/>
      <c r="I186" s="1"/>
      <c r="J186" s="1"/>
    </row>
    <row r="187" spans="1:10">
      <c r="A187" s="5">
        <v>183</v>
      </c>
      <c r="B187" s="9"/>
      <c r="C187" s="9"/>
      <c r="D187" s="35"/>
      <c r="E187" s="5"/>
      <c r="F187" s="9"/>
      <c r="G187" s="27"/>
      <c r="H187" s="1"/>
      <c r="I187" s="1"/>
      <c r="J187" s="1"/>
    </row>
    <row r="188" spans="1:10">
      <c r="A188" s="5">
        <v>184</v>
      </c>
      <c r="B188" s="9"/>
      <c r="C188" s="9"/>
      <c r="D188" s="35"/>
      <c r="E188" s="5"/>
      <c r="F188" s="9"/>
      <c r="G188" s="27"/>
      <c r="H188" s="1"/>
      <c r="I188" s="1"/>
      <c r="J188" s="1"/>
    </row>
    <row r="189" spans="1:10">
      <c r="A189" s="5">
        <v>185</v>
      </c>
      <c r="B189" s="9"/>
      <c r="C189" s="9"/>
      <c r="D189" s="35"/>
      <c r="E189" s="5"/>
      <c r="F189" s="9"/>
      <c r="G189" s="27"/>
      <c r="H189" s="1"/>
      <c r="I189" s="1"/>
      <c r="J189" s="1"/>
    </row>
    <row r="190" spans="1:10">
      <c r="A190" s="5">
        <v>186</v>
      </c>
      <c r="B190" s="9"/>
      <c r="C190" s="9"/>
      <c r="D190" s="35"/>
      <c r="E190" s="5"/>
      <c r="F190" s="9"/>
      <c r="G190" s="27"/>
      <c r="H190" s="1"/>
      <c r="I190" s="1"/>
      <c r="J190" s="1"/>
    </row>
    <row r="191" spans="1:10">
      <c r="A191" s="5">
        <v>187</v>
      </c>
      <c r="B191" s="9"/>
      <c r="C191" s="9"/>
      <c r="D191" s="35"/>
      <c r="E191" s="5"/>
      <c r="F191" s="9"/>
      <c r="G191" s="27"/>
      <c r="H191" s="1"/>
      <c r="I191" s="1"/>
      <c r="J191" s="1"/>
    </row>
    <row r="192" spans="1:10">
      <c r="A192" s="5">
        <v>188</v>
      </c>
      <c r="B192" s="9"/>
      <c r="C192" s="9"/>
      <c r="D192" s="35"/>
      <c r="E192" s="5"/>
      <c r="F192" s="9"/>
      <c r="G192" s="27"/>
      <c r="H192" s="1"/>
      <c r="I192" s="1"/>
      <c r="J192" s="1"/>
    </row>
    <row r="193" spans="1:10">
      <c r="A193" s="5">
        <v>189</v>
      </c>
      <c r="B193" s="9"/>
      <c r="C193" s="9"/>
      <c r="D193" s="35"/>
      <c r="E193" s="5"/>
      <c r="F193" s="9"/>
      <c r="G193" s="27"/>
      <c r="H193" s="1"/>
      <c r="I193" s="1"/>
      <c r="J193" s="1"/>
    </row>
    <row r="194" spans="1:10">
      <c r="A194" s="5">
        <v>190</v>
      </c>
      <c r="B194" s="9"/>
      <c r="C194" s="9"/>
      <c r="D194" s="35"/>
      <c r="E194" s="5"/>
      <c r="F194" s="9"/>
      <c r="G194" s="27"/>
      <c r="H194" s="1"/>
      <c r="I194" s="1"/>
      <c r="J194" s="1"/>
    </row>
    <row r="195" spans="1:10">
      <c r="A195" s="5">
        <v>191</v>
      </c>
      <c r="B195" s="9"/>
      <c r="C195" s="9"/>
      <c r="D195" s="35"/>
      <c r="E195" s="5"/>
      <c r="F195" s="9"/>
      <c r="G195" s="27"/>
      <c r="H195" s="1"/>
      <c r="I195" s="1"/>
      <c r="J195" s="1"/>
    </row>
    <row r="196" spans="1:10">
      <c r="A196" s="5">
        <v>192</v>
      </c>
      <c r="B196" s="9"/>
      <c r="C196" s="9"/>
      <c r="D196" s="35"/>
      <c r="E196" s="5"/>
      <c r="F196" s="9"/>
      <c r="G196" s="27"/>
      <c r="H196" s="1"/>
      <c r="I196" s="1"/>
      <c r="J196" s="1"/>
    </row>
    <row r="197" spans="1:10">
      <c r="A197" s="5">
        <v>193</v>
      </c>
      <c r="B197" s="9"/>
      <c r="C197" s="9"/>
      <c r="D197" s="35"/>
      <c r="E197" s="5"/>
      <c r="F197" s="9"/>
      <c r="G197" s="27"/>
      <c r="H197" s="1"/>
      <c r="I197" s="1"/>
      <c r="J197" s="1"/>
    </row>
    <row r="198" spans="1:10">
      <c r="A198" s="5">
        <v>194</v>
      </c>
      <c r="B198" s="9"/>
      <c r="C198" s="9"/>
      <c r="D198" s="35"/>
      <c r="E198" s="5"/>
      <c r="F198" s="9"/>
      <c r="G198" s="27"/>
      <c r="H198" s="1"/>
      <c r="I198" s="1"/>
      <c r="J198" s="1"/>
    </row>
    <row r="199" spans="1:10">
      <c r="A199" s="5">
        <v>195</v>
      </c>
      <c r="B199" s="9"/>
      <c r="C199" s="9"/>
      <c r="D199" s="35"/>
      <c r="E199" s="5"/>
      <c r="F199" s="9"/>
      <c r="G199" s="27"/>
      <c r="H199" s="1"/>
      <c r="I199" s="1"/>
      <c r="J199" s="1"/>
    </row>
    <row r="200" spans="1:10">
      <c r="A200" s="5">
        <v>196</v>
      </c>
      <c r="B200" s="9"/>
      <c r="C200" s="9"/>
      <c r="D200" s="35"/>
      <c r="E200" s="5"/>
      <c r="F200" s="9"/>
      <c r="G200" s="27"/>
      <c r="H200" s="1"/>
      <c r="I200" s="1"/>
      <c r="J200" s="1"/>
    </row>
    <row r="201" spans="1:10">
      <c r="A201" s="5">
        <v>197</v>
      </c>
      <c r="B201" s="9"/>
      <c r="C201" s="9"/>
      <c r="D201" s="35"/>
      <c r="E201" s="5"/>
      <c r="F201" s="9"/>
      <c r="G201" s="27"/>
      <c r="H201" s="1"/>
      <c r="I201" s="1"/>
      <c r="J201" s="1"/>
    </row>
    <row r="202" spans="1:10">
      <c r="A202" s="5">
        <v>198</v>
      </c>
      <c r="B202" s="9"/>
      <c r="C202" s="9"/>
      <c r="D202" s="35"/>
      <c r="E202" s="5"/>
      <c r="F202" s="9"/>
      <c r="G202" s="27"/>
      <c r="H202" s="1"/>
      <c r="I202" s="1"/>
      <c r="J202" s="1"/>
    </row>
    <row r="203" spans="1:10">
      <c r="A203" s="5">
        <v>199</v>
      </c>
      <c r="B203" s="9"/>
      <c r="C203" s="9"/>
      <c r="D203" s="35"/>
      <c r="E203" s="5"/>
      <c r="F203" s="9"/>
      <c r="G203" s="27"/>
      <c r="H203" s="1"/>
      <c r="I203" s="1"/>
      <c r="J203" s="1"/>
    </row>
    <row r="204" spans="1:10">
      <c r="A204" s="5">
        <v>200</v>
      </c>
      <c r="B204" s="9"/>
      <c r="C204" s="9"/>
      <c r="D204" s="35"/>
      <c r="E204" s="5"/>
      <c r="F204" s="9"/>
      <c r="G204" s="27"/>
      <c r="H204" s="1"/>
      <c r="I204" s="1"/>
      <c r="J204" s="1"/>
    </row>
  </sheetData>
  <mergeCells count="2">
    <mergeCell ref="A1:F1"/>
    <mergeCell ref="A2:F2"/>
  </mergeCells>
  <dataValidations count="3">
    <dataValidation type="list" sqref="F5:F204" xr:uid="{00000000-0002-0000-0300-000001000000}">
      <formula1>"Tiền mặt,Hiện vật,Giải thưởng,Dịch vụ,Hỗn hợp"</formula1>
    </dataValidation>
    <dataValidation type="list" sqref="E5:E204" xr:uid="{00000000-0002-0000-0300-000002000000}">
      <formula1>"Ưu tiên 1,Ưu tiên 2,Đồng hành,Không áp dụng"</formula1>
    </dataValidation>
    <dataValidation type="list" sqref="I5:I204" xr:uid="{00000000-0002-0000-0300-000003000000}">
      <formula1>"Dự kiến,Đã chốt,Đã thực hiện,Hủy"</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300-000000000000}">
          <x14:formula1>
            <xm:f>'02_Asset_Master'!$A$5:$A$29</xm:f>
          </x14:formula1>
          <xm:sqref>C5:C204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5"/>
  <sheetViews>
    <sheetView workbookViewId="0">
      <selection sqref="A1:H1"/>
    </sheetView>
  </sheetViews>
  <sheetFormatPr baseColWidth="10" defaultColWidth="8.83203125" defaultRowHeight="14"/>
  <cols>
    <col min="1" max="1" width="20" customWidth="1"/>
    <col min="2" max="2" width="36" customWidth="1"/>
    <col min="3" max="3" width="12" customWidth="1"/>
    <col min="4" max="4" width="14" customWidth="1"/>
    <col min="5" max="8" width="10" customWidth="1"/>
  </cols>
  <sheetData>
    <row r="1" spans="1:8" ht="34.75" customHeight="1">
      <c r="A1" s="69" t="s">
        <v>305</v>
      </c>
      <c r="B1" s="69"/>
      <c r="C1" s="69"/>
      <c r="D1" s="69"/>
      <c r="E1" s="69"/>
      <c r="F1" s="69"/>
      <c r="G1" s="69"/>
      <c r="H1" s="69"/>
    </row>
    <row r="2" spans="1:8">
      <c r="A2" s="3"/>
      <c r="B2" s="3"/>
      <c r="C2" s="3"/>
      <c r="D2" s="3"/>
      <c r="E2" s="3"/>
      <c r="F2" s="3"/>
      <c r="G2" s="3"/>
      <c r="H2" s="3"/>
    </row>
    <row r="3" spans="1:8">
      <c r="A3" s="29" t="s">
        <v>306</v>
      </c>
      <c r="B3" s="29" t="s">
        <v>307</v>
      </c>
      <c r="C3" s="3"/>
      <c r="D3" s="3"/>
      <c r="E3" s="3"/>
      <c r="F3" s="3"/>
      <c r="G3" s="3"/>
      <c r="H3" s="3"/>
    </row>
    <row r="4" spans="1:8">
      <c r="A4" s="3" t="s">
        <v>308</v>
      </c>
      <c r="B4" s="14">
        <f>COUNTA('02_Asset_Master'!$A$5:$A$29)</f>
        <v>25</v>
      </c>
      <c r="C4" s="3"/>
      <c r="D4" s="3"/>
      <c r="E4" s="3"/>
      <c r="F4" s="3"/>
      <c r="G4" s="3"/>
      <c r="H4" s="3"/>
    </row>
    <row r="5" spans="1:8">
      <c r="A5" s="3" t="s">
        <v>309</v>
      </c>
      <c r="B5" s="14">
        <f>COUNT('02_Asset_Master'!$H$5:$H$29)</f>
        <v>0</v>
      </c>
      <c r="C5" s="3"/>
      <c r="D5" s="3"/>
      <c r="E5" s="3"/>
      <c r="F5" s="3"/>
      <c r="G5" s="3"/>
      <c r="H5" s="3"/>
    </row>
    <row r="6" spans="1:8">
      <c r="A6" s="3" t="s">
        <v>310</v>
      </c>
      <c r="B6" s="14">
        <f>B4-B5</f>
        <v>25</v>
      </c>
      <c r="C6" s="3"/>
      <c r="D6" s="3"/>
      <c r="E6" s="3"/>
      <c r="F6" s="3"/>
      <c r="G6" s="3"/>
      <c r="H6" s="3"/>
    </row>
    <row r="7" spans="1:8">
      <c r="A7" s="3" t="s">
        <v>311</v>
      </c>
      <c r="B7" s="14">
        <f>COUNTIF('02_Asset_Master'!$M$5:$M$29,"VƯỢT CAP")</f>
        <v>0</v>
      </c>
      <c r="C7" s="3"/>
      <c r="D7" s="3"/>
      <c r="E7" s="3"/>
      <c r="F7" s="3"/>
      <c r="G7" s="3"/>
      <c r="H7" s="3"/>
    </row>
    <row r="8" spans="1:8">
      <c r="A8" s="3" t="s">
        <v>312</v>
      </c>
      <c r="B8" s="3">
        <f>COUNTA('03_Phan_bo'!$C$5:$C$204)</f>
        <v>0</v>
      </c>
      <c r="C8" s="3"/>
      <c r="D8" s="3"/>
      <c r="E8" s="3"/>
      <c r="F8" s="3"/>
      <c r="G8" s="3"/>
      <c r="H8" s="3"/>
    </row>
    <row r="9" spans="1:8">
      <c r="A9" s="3" t="s">
        <v>313</v>
      </c>
      <c r="B9" s="28">
        <f>SUM('02_Asset_Master'!$W$5:$W$29)</f>
        <v>0</v>
      </c>
      <c r="C9" s="3"/>
      <c r="D9" s="3"/>
      <c r="E9" s="3"/>
      <c r="F9" s="3"/>
      <c r="G9" s="3"/>
      <c r="H9" s="3"/>
    </row>
    <row r="10" spans="1:8">
      <c r="A10" s="8"/>
      <c r="B10" s="8"/>
      <c r="C10" s="8"/>
      <c r="D10" s="8"/>
      <c r="E10" s="8"/>
      <c r="F10" s="8"/>
      <c r="G10" s="8"/>
      <c r="H10" s="3"/>
    </row>
    <row r="11" spans="1:8" ht="15">
      <c r="A11" s="22" t="s">
        <v>33</v>
      </c>
      <c r="B11" s="22" t="s">
        <v>34</v>
      </c>
      <c r="C11" s="22" t="s">
        <v>314</v>
      </c>
      <c r="D11" s="22" t="s">
        <v>315</v>
      </c>
      <c r="E11" s="30" t="s">
        <v>316</v>
      </c>
      <c r="F11" s="22" t="s">
        <v>317</v>
      </c>
      <c r="G11" s="22" t="s">
        <v>138</v>
      </c>
      <c r="H11" s="3"/>
    </row>
    <row r="12" spans="1:8">
      <c r="A12" s="3" t="s">
        <v>37</v>
      </c>
      <c r="B12" s="3" t="s">
        <v>38</v>
      </c>
      <c r="C12" s="3">
        <v>3</v>
      </c>
      <c r="D12" s="3">
        <f>COUNTIFS('02_Asset_Master'!$B$5:$B$29,A12,'02_Asset_Master'!$H$5:$H$29,"&gt;0")</f>
        <v>0</v>
      </c>
      <c r="E12" s="15">
        <f t="shared" ref="E12:E18" si="0">IF(C12=0,0,D12/C12)</f>
        <v>0</v>
      </c>
      <c r="F12" s="3">
        <f>COUNTIFS('02_Asset_Master'!$B$5:$B$29,A12,'02_Asset_Master'!$M$5:$M$29,"VƯỢT CAP")</f>
        <v>0</v>
      </c>
      <c r="G12" s="3">
        <f>COUNTIFS('02_Asset_Master'!$B$5:$B$29,A12,'02_Asset_Master'!$N$5:$N$29,"Signature")</f>
        <v>0</v>
      </c>
      <c r="H12" s="3"/>
    </row>
    <row r="13" spans="1:8">
      <c r="A13" s="3" t="s">
        <v>40</v>
      </c>
      <c r="B13" s="3" t="s">
        <v>41</v>
      </c>
      <c r="C13" s="3">
        <v>2</v>
      </c>
      <c r="D13" s="3">
        <f>COUNTIFS('02_Asset_Master'!$B$5:$B$29,A13,'02_Asset_Master'!$H$5:$H$29,"&gt;0")</f>
        <v>0</v>
      </c>
      <c r="E13" s="15">
        <f t="shared" si="0"/>
        <v>0</v>
      </c>
      <c r="F13" s="3">
        <f>COUNTIFS('02_Asset_Master'!$B$5:$B$29,A13,'02_Asset_Master'!$M$5:$M$29,"VƯỢT CAP")</f>
        <v>0</v>
      </c>
      <c r="G13" s="3">
        <f>COUNTIFS('02_Asset_Master'!$B$5:$B$29,A13,'02_Asset_Master'!$N$5:$N$29,"Signature")</f>
        <v>0</v>
      </c>
      <c r="H13" s="3"/>
    </row>
    <row r="14" spans="1:8">
      <c r="A14" s="3" t="s">
        <v>43</v>
      </c>
      <c r="B14" s="3" t="s">
        <v>44</v>
      </c>
      <c r="C14" s="3">
        <v>3</v>
      </c>
      <c r="D14" s="3">
        <f>COUNTIFS('02_Asset_Master'!$B$5:$B$29,A14,'02_Asset_Master'!$H$5:$H$29,"&gt;0")</f>
        <v>0</v>
      </c>
      <c r="E14" s="15">
        <f t="shared" si="0"/>
        <v>0</v>
      </c>
      <c r="F14" s="3">
        <f>COUNTIFS('02_Asset_Master'!$B$5:$B$29,A14,'02_Asset_Master'!$M$5:$M$29,"VƯỢT CAP")</f>
        <v>0</v>
      </c>
      <c r="G14" s="3">
        <f>COUNTIFS('02_Asset_Master'!$B$5:$B$29,A14,'02_Asset_Master'!$N$5:$N$29,"Signature")</f>
        <v>1</v>
      </c>
      <c r="H14" s="3"/>
    </row>
    <row r="15" spans="1:8">
      <c r="A15" s="3" t="s">
        <v>46</v>
      </c>
      <c r="B15" s="3" t="s">
        <v>47</v>
      </c>
      <c r="C15" s="3">
        <v>2</v>
      </c>
      <c r="D15" s="3">
        <f>COUNTIFS('02_Asset_Master'!$B$5:$B$29,A15,'02_Asset_Master'!$H$5:$H$29,"&gt;0")</f>
        <v>0</v>
      </c>
      <c r="E15" s="15">
        <f t="shared" si="0"/>
        <v>0</v>
      </c>
      <c r="F15" s="3">
        <f>COUNTIFS('02_Asset_Master'!$B$5:$B$29,A15,'02_Asset_Master'!$M$5:$M$29,"VƯỢT CAP")</f>
        <v>0</v>
      </c>
      <c r="G15" s="3">
        <f>COUNTIFS('02_Asset_Master'!$B$5:$B$29,A15,'02_Asset_Master'!$N$5:$N$29,"Signature")</f>
        <v>0</v>
      </c>
      <c r="H15" s="3"/>
    </row>
    <row r="16" spans="1:8">
      <c r="A16" s="3" t="s">
        <v>49</v>
      </c>
      <c r="B16" s="3" t="s">
        <v>50</v>
      </c>
      <c r="C16" s="3">
        <v>4</v>
      </c>
      <c r="D16" s="3">
        <f>COUNTIFS('02_Asset_Master'!$B$5:$B$29,A16,'02_Asset_Master'!$H$5:$H$29,"&gt;0")</f>
        <v>0</v>
      </c>
      <c r="E16" s="15">
        <f t="shared" si="0"/>
        <v>0</v>
      </c>
      <c r="F16" s="3">
        <f>COUNTIFS('02_Asset_Master'!$B$5:$B$29,A16,'02_Asset_Master'!$M$5:$M$29,"VƯỢT CAP")</f>
        <v>0</v>
      </c>
      <c r="G16" s="3">
        <f>COUNTIFS('02_Asset_Master'!$B$5:$B$29,A16,'02_Asset_Master'!$N$5:$N$29,"Signature")</f>
        <v>1</v>
      </c>
      <c r="H16" s="3"/>
    </row>
    <row r="17" spans="1:8">
      <c r="A17" s="3" t="s">
        <v>52</v>
      </c>
      <c r="B17" s="3" t="s">
        <v>53</v>
      </c>
      <c r="C17" s="3">
        <v>5</v>
      </c>
      <c r="D17" s="3">
        <f>COUNTIFS('02_Asset_Master'!$B$5:$B$29,A17,'02_Asset_Master'!$H$5:$H$29,"&gt;0")</f>
        <v>0</v>
      </c>
      <c r="E17" s="15">
        <f t="shared" si="0"/>
        <v>0</v>
      </c>
      <c r="F17" s="3">
        <f>COUNTIFS('02_Asset_Master'!$B$5:$B$29,A17,'02_Asset_Master'!$M$5:$M$29,"VƯỢT CAP")</f>
        <v>0</v>
      </c>
      <c r="G17" s="3">
        <f>COUNTIFS('02_Asset_Master'!$B$5:$B$29,A17,'02_Asset_Master'!$N$5:$N$29,"Signature")</f>
        <v>1</v>
      </c>
      <c r="H17" s="3"/>
    </row>
    <row r="18" spans="1:8">
      <c r="A18" s="3" t="s">
        <v>55</v>
      </c>
      <c r="B18" s="3" t="s">
        <v>56</v>
      </c>
      <c r="C18" s="3">
        <v>6</v>
      </c>
      <c r="D18" s="3">
        <f>COUNTIFS('02_Asset_Master'!$B$5:$B$29,A18,'02_Asset_Master'!$H$5:$H$29,"&gt;0")</f>
        <v>0</v>
      </c>
      <c r="E18" s="15">
        <f t="shared" si="0"/>
        <v>0</v>
      </c>
      <c r="F18" s="3">
        <f>COUNTIFS('02_Asset_Master'!$B$5:$B$29,A18,'02_Asset_Master'!$M$5:$M$29,"VƯỢT CAP")</f>
        <v>0</v>
      </c>
      <c r="G18" s="3">
        <f>COUNTIFS('02_Asset_Master'!$B$5:$B$29,A18,'02_Asset_Master'!$N$5:$N$29,"Signature")</f>
        <v>0</v>
      </c>
      <c r="H18" s="3"/>
    </row>
    <row r="19" spans="1:8">
      <c r="A19" s="3"/>
      <c r="B19" s="3"/>
      <c r="C19" s="3"/>
      <c r="D19" s="3"/>
      <c r="E19" s="3"/>
      <c r="F19" s="3"/>
      <c r="G19" s="3"/>
      <c r="H19" s="3"/>
    </row>
    <row r="20" spans="1:8">
      <c r="A20" s="73"/>
      <c r="B20" s="73"/>
      <c r="C20" s="73"/>
      <c r="D20" s="73"/>
      <c r="E20" s="73"/>
      <c r="F20" s="73"/>
      <c r="G20" s="73"/>
      <c r="H20" s="73"/>
    </row>
    <row r="21" spans="1:8">
      <c r="A21" s="74" t="s">
        <v>318</v>
      </c>
      <c r="B21" s="74"/>
      <c r="C21" s="74"/>
      <c r="D21" s="74"/>
      <c r="E21" s="74"/>
      <c r="F21" s="74"/>
      <c r="G21" s="74"/>
      <c r="H21" s="74"/>
    </row>
    <row r="22" spans="1:8">
      <c r="A22" s="75" t="s">
        <v>319</v>
      </c>
      <c r="B22" s="75"/>
      <c r="C22" s="75"/>
      <c r="D22" s="75"/>
      <c r="E22" s="75"/>
      <c r="F22" s="75"/>
      <c r="G22" s="75"/>
      <c r="H22" s="75"/>
    </row>
    <row r="23" spans="1:8">
      <c r="A23" s="75"/>
      <c r="B23" s="75"/>
      <c r="C23" s="75"/>
      <c r="D23" s="75"/>
      <c r="E23" s="75"/>
      <c r="F23" s="75"/>
      <c r="G23" s="75"/>
      <c r="H23" s="75"/>
    </row>
    <row r="24" spans="1:8">
      <c r="A24" s="76"/>
      <c r="B24" s="76"/>
      <c r="C24" s="76"/>
      <c r="D24" s="76"/>
      <c r="E24" s="76"/>
      <c r="F24" s="76"/>
      <c r="G24" s="76"/>
      <c r="H24" s="76"/>
    </row>
    <row r="25" spans="1:8">
      <c r="A25" s="3"/>
      <c r="B25" s="3"/>
      <c r="C25" s="3"/>
      <c r="D25" s="3"/>
      <c r="E25" s="3"/>
      <c r="F25" s="3"/>
      <c r="G25" s="3"/>
      <c r="H25" s="3"/>
    </row>
  </sheetData>
  <mergeCells count="3">
    <mergeCell ref="A1:H1"/>
    <mergeCell ref="A20:H20"/>
    <mergeCell ref="A21:H24"/>
  </mergeCells>
  <conditionalFormatting sqref="E11:E17">
    <cfRule type="dataBar" priority="1">
      <dataBar>
        <cfvo type="min"/>
        <cfvo type="max"/>
        <color rgb="FFA02B93"/>
      </dataBar>
    </cfRule>
  </conditionalFormatting>
  <conditionalFormatting sqref="F11:F17">
    <cfRule type="cellIs" dxfId="12" priority="2" operator="greaterThan">
      <formula>0</formula>
    </cfRule>
  </conditionalFormatting>
  <conditionalFormatting sqref="E11:E17">
    <cfRule type="dataBar" priority="3">
      <dataBar>
        <cfvo type="min"/>
        <cfvo type="max"/>
        <color rgb="FFA02B93"/>
      </dataBar>
      <extLst>
        <ext xmlns:x14="http://schemas.microsoft.com/office/spreadsheetml/2009/9/main" uri="{B025F937-C7B1-47D3-B67F-A62EFF666E3E}">
          <x14:id>{29394A1C-E1AF-AF11-2861-883168B690A8}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9394A1C-E1AF-AF11-2861-883168B690A8}">
            <x14:dataBar>
              <x14:cfvo type="min"/>
              <x14:cfvo type="max"/>
              <x14:negativeFillColor auto="1"/>
              <x14:axisColor auto="1"/>
            </x14:dataBar>
          </x14:cfRule>
          <xm:sqref>E11:E17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heetViews>
  <sheetFormatPr baseColWidth="10" defaultColWidth="8.83203125" defaultRowHeight="14"/>
  <cols>
    <col min="1" max="2" width="14" customWidth="1"/>
    <col min="3" max="3" width="18" customWidth="1"/>
    <col min="4" max="4" width="55" customWidth="1"/>
  </cols>
  <sheetData>
    <row r="1" spans="1:4" ht="30">
      <c r="A1" s="16" t="s">
        <v>71</v>
      </c>
      <c r="B1" s="16" t="s">
        <v>72</v>
      </c>
      <c r="C1" s="16" t="s">
        <v>320</v>
      </c>
      <c r="D1" s="16" t="s">
        <v>321</v>
      </c>
    </row>
    <row r="2" spans="1:4" ht="30">
      <c r="A2" s="5" t="s">
        <v>85</v>
      </c>
      <c r="B2" s="5" t="s">
        <v>86</v>
      </c>
      <c r="C2" s="5" t="s">
        <v>322</v>
      </c>
      <c r="D2" s="5" t="s">
        <v>323</v>
      </c>
    </row>
    <row r="3" spans="1:4" ht="15">
      <c r="A3" s="5" t="s">
        <v>119</v>
      </c>
      <c r="B3" s="5" t="s">
        <v>120</v>
      </c>
      <c r="C3" s="5" t="s">
        <v>324</v>
      </c>
      <c r="D3" s="5" t="s">
        <v>325</v>
      </c>
    </row>
    <row r="4" spans="1:4" ht="15">
      <c r="A4" s="5" t="s">
        <v>138</v>
      </c>
      <c r="B4" s="5"/>
      <c r="C4" s="5" t="s">
        <v>326</v>
      </c>
      <c r="D4" s="5" t="s">
        <v>327</v>
      </c>
    </row>
    <row r="5" spans="1:4" ht="15">
      <c r="A5" s="5"/>
      <c r="B5" s="5"/>
      <c r="C5" s="5" t="s">
        <v>328</v>
      </c>
      <c r="D5" s="5"/>
    </row>
    <row r="6" spans="1:4">
      <c r="A6" s="5"/>
      <c r="B6" s="5"/>
      <c r="C6" s="5"/>
      <c r="D6" s="5"/>
    </row>
    <row r="7" spans="1:4">
      <c r="A7" s="5"/>
      <c r="B7" s="5"/>
      <c r="C7" s="5"/>
      <c r="D7" s="5"/>
    </row>
    <row r="8" spans="1:4">
      <c r="A8" s="5"/>
      <c r="B8" s="5"/>
      <c r="C8" s="5"/>
      <c r="D8"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0"/>
  <sheetViews>
    <sheetView workbookViewId="0">
      <selection sqref="A1:F1"/>
    </sheetView>
  </sheetViews>
  <sheetFormatPr baseColWidth="10" defaultColWidth="8.83203125" defaultRowHeight="14"/>
  <cols>
    <col min="1" max="1" width="16" customWidth="1"/>
    <col min="2" max="2" width="52" customWidth="1"/>
    <col min="3" max="3" width="22" customWidth="1"/>
    <col min="4" max="4" width="16" customWidth="1"/>
    <col min="5" max="5" width="14" customWidth="1"/>
    <col min="6" max="6" width="35" customWidth="1"/>
  </cols>
  <sheetData>
    <row r="1" spans="1:6" ht="18">
      <c r="A1" s="77" t="s">
        <v>329</v>
      </c>
      <c r="B1" s="77"/>
      <c r="C1" s="77"/>
      <c r="D1" s="77"/>
      <c r="E1" s="77"/>
      <c r="F1" s="77"/>
    </row>
    <row r="2" spans="1:6" ht="15">
      <c r="A2" s="78" t="s">
        <v>330</v>
      </c>
      <c r="B2" s="78"/>
      <c r="C2" s="78"/>
      <c r="D2" s="78"/>
      <c r="E2" s="78"/>
      <c r="F2" s="78"/>
    </row>
    <row r="4" spans="1:6" ht="16">
      <c r="A4" s="33" t="s">
        <v>72</v>
      </c>
      <c r="B4" s="33" t="s">
        <v>331</v>
      </c>
      <c r="C4" s="33" t="s">
        <v>332</v>
      </c>
      <c r="D4" s="33" t="s">
        <v>70</v>
      </c>
      <c r="E4" s="33" t="s">
        <v>333</v>
      </c>
      <c r="F4" s="33" t="s">
        <v>76</v>
      </c>
    </row>
    <row r="5" spans="1:6" ht="15">
      <c r="A5" s="1" t="s">
        <v>334</v>
      </c>
      <c r="B5" s="1" t="s">
        <v>335</v>
      </c>
      <c r="C5" s="1" t="s">
        <v>336</v>
      </c>
      <c r="D5" s="1" t="s">
        <v>337</v>
      </c>
      <c r="E5" s="34"/>
      <c r="F5" s="1"/>
    </row>
    <row r="6" spans="1:6" ht="15">
      <c r="A6" s="1" t="s">
        <v>334</v>
      </c>
      <c r="B6" s="1" t="s">
        <v>338</v>
      </c>
      <c r="C6" s="1" t="s">
        <v>339</v>
      </c>
      <c r="D6" s="1" t="s">
        <v>337</v>
      </c>
      <c r="E6" s="34"/>
      <c r="F6" s="1"/>
    </row>
    <row r="7" spans="1:6" ht="15">
      <c r="A7" s="1" t="s">
        <v>334</v>
      </c>
      <c r="B7" s="1" t="s">
        <v>340</v>
      </c>
      <c r="C7" s="1" t="s">
        <v>341</v>
      </c>
      <c r="D7" s="1" t="s">
        <v>337</v>
      </c>
      <c r="E7" s="34"/>
      <c r="F7" s="1"/>
    </row>
    <row r="8" spans="1:6" ht="15">
      <c r="A8" s="1" t="s">
        <v>156</v>
      </c>
      <c r="B8" s="1" t="s">
        <v>342</v>
      </c>
      <c r="C8" s="1" t="s">
        <v>341</v>
      </c>
      <c r="D8" s="1" t="s">
        <v>337</v>
      </c>
      <c r="E8" s="34"/>
      <c r="F8" s="1"/>
    </row>
    <row r="9" spans="1:6" ht="15">
      <c r="A9" s="1" t="s">
        <v>156</v>
      </c>
      <c r="B9" s="1" t="s">
        <v>343</v>
      </c>
      <c r="C9" s="1" t="s">
        <v>344</v>
      </c>
      <c r="D9" s="1" t="s">
        <v>337</v>
      </c>
      <c r="E9" s="34"/>
      <c r="F9" s="1"/>
    </row>
    <row r="10" spans="1:6" ht="15">
      <c r="A10" s="1" t="s">
        <v>345</v>
      </c>
      <c r="B10" s="1" t="s">
        <v>346</v>
      </c>
      <c r="C10" s="1" t="s">
        <v>166</v>
      </c>
      <c r="D10" s="1" t="s">
        <v>337</v>
      </c>
      <c r="E10" s="34"/>
      <c r="F10" s="1"/>
    </row>
    <row r="11" spans="1:6" ht="15">
      <c r="A11" s="1" t="s">
        <v>345</v>
      </c>
      <c r="B11" s="1" t="s">
        <v>347</v>
      </c>
      <c r="C11" s="1" t="s">
        <v>232</v>
      </c>
      <c r="D11" s="1" t="s">
        <v>337</v>
      </c>
      <c r="E11" s="34"/>
      <c r="F11" s="1"/>
    </row>
    <row r="12" spans="1:6" ht="15">
      <c r="A12" s="1" t="s">
        <v>345</v>
      </c>
      <c r="B12" s="1" t="s">
        <v>348</v>
      </c>
      <c r="C12" s="1" t="s">
        <v>232</v>
      </c>
      <c r="D12" s="1" t="s">
        <v>337</v>
      </c>
      <c r="E12" s="34"/>
      <c r="F12" s="1"/>
    </row>
    <row r="13" spans="1:6" ht="15">
      <c r="A13" s="1" t="s">
        <v>345</v>
      </c>
      <c r="B13" s="1" t="s">
        <v>349</v>
      </c>
      <c r="C13" s="1" t="s">
        <v>240</v>
      </c>
      <c r="D13" s="1" t="s">
        <v>337</v>
      </c>
      <c r="E13" s="34"/>
      <c r="F13" s="1"/>
    </row>
    <row r="14" spans="1:6" ht="15">
      <c r="A14" s="1" t="s">
        <v>350</v>
      </c>
      <c r="B14" s="1" t="s">
        <v>351</v>
      </c>
      <c r="C14" s="1" t="s">
        <v>129</v>
      </c>
      <c r="D14" s="1" t="s">
        <v>337</v>
      </c>
      <c r="E14" s="34"/>
      <c r="F14" s="1"/>
    </row>
    <row r="15" spans="1:6" ht="15">
      <c r="A15" s="1" t="s">
        <v>350</v>
      </c>
      <c r="B15" s="1" t="s">
        <v>352</v>
      </c>
      <c r="C15" s="1" t="s">
        <v>129</v>
      </c>
      <c r="D15" s="1" t="s">
        <v>337</v>
      </c>
      <c r="E15" s="34"/>
      <c r="F15" s="1"/>
    </row>
    <row r="16" spans="1:6" ht="15">
      <c r="A16" s="1" t="s">
        <v>249</v>
      </c>
      <c r="B16" s="1" t="s">
        <v>353</v>
      </c>
      <c r="C16" s="1" t="s">
        <v>249</v>
      </c>
      <c r="D16" s="1" t="s">
        <v>337</v>
      </c>
      <c r="E16" s="34"/>
      <c r="F16" s="1"/>
    </row>
    <row r="17" spans="1:6" ht="15">
      <c r="A17" s="1" t="s">
        <v>249</v>
      </c>
      <c r="B17" s="1" t="s">
        <v>354</v>
      </c>
      <c r="C17" s="1" t="s">
        <v>258</v>
      </c>
      <c r="D17" s="1" t="s">
        <v>337</v>
      </c>
      <c r="E17" s="34"/>
      <c r="F17" s="1"/>
    </row>
    <row r="18" spans="1:6" ht="15">
      <c r="A18" s="1" t="s">
        <v>249</v>
      </c>
      <c r="B18" s="1" t="s">
        <v>355</v>
      </c>
      <c r="C18" s="1" t="s">
        <v>267</v>
      </c>
      <c r="D18" s="1" t="s">
        <v>337</v>
      </c>
      <c r="E18" s="34"/>
      <c r="F18" s="1"/>
    </row>
    <row r="19" spans="1:6" ht="15">
      <c r="A19" s="1" t="s">
        <v>249</v>
      </c>
      <c r="B19" s="1" t="s">
        <v>356</v>
      </c>
      <c r="C19" s="1" t="s">
        <v>275</v>
      </c>
      <c r="D19" s="1" t="s">
        <v>337</v>
      </c>
      <c r="E19" s="34"/>
      <c r="F19" s="1"/>
    </row>
    <row r="20" spans="1:6" ht="15">
      <c r="A20" s="1" t="s">
        <v>249</v>
      </c>
      <c r="B20" s="1" t="s">
        <v>357</v>
      </c>
      <c r="C20" s="1" t="s">
        <v>249</v>
      </c>
      <c r="D20" s="1" t="s">
        <v>337</v>
      </c>
      <c r="E20" s="34"/>
      <c r="F20" s="1"/>
    </row>
    <row r="21" spans="1:6" ht="15">
      <c r="A21" s="1" t="s">
        <v>358</v>
      </c>
      <c r="B21" s="1" t="s">
        <v>359</v>
      </c>
      <c r="C21" s="1" t="s">
        <v>360</v>
      </c>
      <c r="D21" s="1" t="s">
        <v>337</v>
      </c>
      <c r="E21" s="34"/>
      <c r="F21" s="1"/>
    </row>
    <row r="22" spans="1:6" ht="15">
      <c r="A22" s="1" t="s">
        <v>361</v>
      </c>
      <c r="B22" s="1" t="s">
        <v>362</v>
      </c>
      <c r="C22" s="1" t="s">
        <v>363</v>
      </c>
      <c r="D22" s="1" t="s">
        <v>337</v>
      </c>
      <c r="E22" s="34"/>
      <c r="F22" s="1"/>
    </row>
    <row r="23" spans="1:6" ht="15">
      <c r="A23" s="1" t="s">
        <v>361</v>
      </c>
      <c r="B23" s="1" t="s">
        <v>364</v>
      </c>
      <c r="C23" s="1" t="s">
        <v>365</v>
      </c>
      <c r="D23" s="1" t="s">
        <v>337</v>
      </c>
      <c r="E23" s="34"/>
      <c r="F23" s="1"/>
    </row>
    <row r="24" spans="1:6">
      <c r="A24" s="1"/>
      <c r="B24" s="1"/>
      <c r="C24" s="1"/>
      <c r="D24" s="1"/>
      <c r="E24" s="34"/>
      <c r="F24" s="1"/>
    </row>
    <row r="25" spans="1:6">
      <c r="A25" s="1"/>
      <c r="B25" s="1"/>
      <c r="C25" s="1"/>
      <c r="D25" s="1"/>
      <c r="E25" s="34"/>
      <c r="F25" s="1"/>
    </row>
    <row r="26" spans="1:6">
      <c r="A26" s="1"/>
      <c r="B26" s="1"/>
      <c r="C26" s="1"/>
      <c r="D26" s="1"/>
      <c r="E26" s="34"/>
      <c r="F26" s="1"/>
    </row>
    <row r="27" spans="1:6">
      <c r="A27" s="1"/>
      <c r="B27" s="1"/>
      <c r="C27" s="1"/>
      <c r="D27" s="1"/>
      <c r="E27" s="34"/>
      <c r="F27" s="1"/>
    </row>
    <row r="28" spans="1:6">
      <c r="A28" s="1"/>
      <c r="B28" s="1"/>
      <c r="C28" s="1"/>
      <c r="D28" s="1"/>
      <c r="E28" s="34"/>
      <c r="F28" s="1"/>
    </row>
    <row r="29" spans="1:6">
      <c r="A29" s="1"/>
      <c r="B29" s="1"/>
      <c r="C29" s="1"/>
      <c r="D29" s="1"/>
      <c r="E29" s="34"/>
      <c r="F29" s="1"/>
    </row>
    <row r="30" spans="1:6">
      <c r="A30" s="1"/>
      <c r="B30" s="1"/>
      <c r="C30" s="1"/>
      <c r="D30" s="1"/>
      <c r="E30" s="34"/>
      <c r="F30" s="1"/>
    </row>
  </sheetData>
  <mergeCells count="2">
    <mergeCell ref="A1:F1"/>
    <mergeCell ref="A2:F2"/>
  </mergeCells>
  <conditionalFormatting sqref="D5:D30">
    <cfRule type="expression" dxfId="11" priority="1">
      <formula>D5="Đã chốt"</formula>
    </cfRule>
    <cfRule type="expression" dxfId="10" priority="2">
      <formula>D5="Chưa làm"</formula>
    </cfRule>
    <cfRule type="expression" dxfId="9" priority="3">
      <formula>D5="Đang xác nhận"</formula>
    </cfRule>
  </conditionalFormatting>
  <dataValidations count="1">
    <dataValidation type="list" sqref="D5:D30" xr:uid="{00000000-0002-0000-0600-000000000000}">
      <formula1>"Chưa làm,Đang xác nhận,Đã chốt,Không áp dụng"</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5"/>
  <sheetViews>
    <sheetView tabSelected="1" workbookViewId="0">
      <selection activeCell="D25" sqref="D25"/>
    </sheetView>
  </sheetViews>
  <sheetFormatPr baseColWidth="10" defaultColWidth="8.83203125" defaultRowHeight="14"/>
  <cols>
    <col min="1" max="1" width="24" customWidth="1"/>
    <col min="2" max="2" width="38" customWidth="1"/>
    <col min="3" max="7" width="15" customWidth="1"/>
    <col min="8" max="8" width="18" customWidth="1"/>
    <col min="9" max="9" width="34" customWidth="1"/>
  </cols>
  <sheetData>
    <row r="1" spans="1:9" ht="40" customHeight="1">
      <c r="A1" s="79" t="s">
        <v>366</v>
      </c>
      <c r="B1" s="79"/>
      <c r="C1" s="79"/>
      <c r="D1" s="79"/>
      <c r="E1" s="79"/>
      <c r="F1" s="79"/>
      <c r="G1" s="79"/>
      <c r="H1" s="79"/>
      <c r="I1" s="79"/>
    </row>
    <row r="2" spans="1:9" ht="34.75" customHeight="1">
      <c r="A2" s="80" t="s">
        <v>367</v>
      </c>
      <c r="B2" s="80"/>
      <c r="C2" s="80"/>
      <c r="D2" s="80"/>
      <c r="E2" s="80"/>
      <c r="F2" s="80"/>
      <c r="G2" s="80"/>
      <c r="H2" s="80"/>
      <c r="I2" s="80"/>
    </row>
    <row r="4" spans="1:9" ht="40" customHeight="1">
      <c r="A4" s="44" t="s">
        <v>368</v>
      </c>
      <c r="B4" s="44" t="s">
        <v>369</v>
      </c>
      <c r="C4" s="44" t="s">
        <v>370</v>
      </c>
      <c r="D4" s="44" t="s">
        <v>371</v>
      </c>
      <c r="E4" s="44" t="s">
        <v>372</v>
      </c>
      <c r="F4" s="44" t="s">
        <v>373</v>
      </c>
      <c r="G4" s="44" t="s">
        <v>374</v>
      </c>
      <c r="H4" s="44" t="s">
        <v>375</v>
      </c>
      <c r="I4" s="44" t="s">
        <v>376</v>
      </c>
    </row>
    <row r="5" spans="1:9" ht="32" customHeight="1">
      <c r="A5" s="46"/>
      <c r="B5" s="46" t="s">
        <v>377</v>
      </c>
      <c r="C5" s="47">
        <v>50000000</v>
      </c>
      <c r="D5" s="47">
        <v>100000000</v>
      </c>
      <c r="E5" s="47">
        <v>200000000</v>
      </c>
      <c r="F5" s="47">
        <v>300000000</v>
      </c>
      <c r="G5" s="47">
        <v>500000000</v>
      </c>
      <c r="H5" s="47">
        <v>1000000000</v>
      </c>
      <c r="I5" s="46"/>
    </row>
    <row r="6" spans="1:9" ht="32" customHeight="1">
      <c r="A6" s="48"/>
      <c r="B6" s="48" t="s">
        <v>378</v>
      </c>
      <c r="C6" s="48" t="s">
        <v>379</v>
      </c>
      <c r="D6" s="48" t="s">
        <v>379</v>
      </c>
      <c r="E6" s="48" t="s">
        <v>380</v>
      </c>
      <c r="F6" s="48" t="s">
        <v>380</v>
      </c>
      <c r="G6" s="48" t="s">
        <v>381</v>
      </c>
      <c r="H6" s="48" t="s">
        <v>381</v>
      </c>
      <c r="I6" s="48"/>
    </row>
    <row r="7" spans="1:9" ht="16">
      <c r="A7" s="53" t="s">
        <v>382</v>
      </c>
      <c r="B7" s="53" t="s">
        <v>82</v>
      </c>
      <c r="C7" s="52" t="s">
        <v>383</v>
      </c>
      <c r="D7" s="52" t="s">
        <v>383</v>
      </c>
      <c r="E7" s="52" t="s">
        <v>383</v>
      </c>
      <c r="F7" s="52" t="s">
        <v>383</v>
      </c>
      <c r="G7" s="52" t="s">
        <v>383</v>
      </c>
      <c r="H7" s="52" t="s">
        <v>383</v>
      </c>
      <c r="I7" s="51" t="s">
        <v>384</v>
      </c>
    </row>
    <row r="8" spans="1:9" ht="15">
      <c r="A8" s="49" t="s">
        <v>382</v>
      </c>
      <c r="B8" s="49" t="s">
        <v>94</v>
      </c>
      <c r="C8" s="50" t="s">
        <v>383</v>
      </c>
      <c r="D8" s="50" t="s">
        <v>383</v>
      </c>
      <c r="E8" s="50" t="s">
        <v>383</v>
      </c>
      <c r="F8" s="50" t="s">
        <v>383</v>
      </c>
      <c r="G8" s="50" t="s">
        <v>383</v>
      </c>
      <c r="H8" s="50" t="s">
        <v>383</v>
      </c>
      <c r="I8" s="49" t="s">
        <v>385</v>
      </c>
    </row>
    <row r="9" spans="1:9" ht="30">
      <c r="A9" s="49" t="s">
        <v>382</v>
      </c>
      <c r="B9" s="49" t="s">
        <v>101</v>
      </c>
      <c r="C9" s="50" t="s">
        <v>386</v>
      </c>
      <c r="D9" s="50" t="s">
        <v>383</v>
      </c>
      <c r="E9" s="50" t="s">
        <v>383</v>
      </c>
      <c r="F9" s="50" t="s">
        <v>383</v>
      </c>
      <c r="G9" s="50" t="s">
        <v>383</v>
      </c>
      <c r="H9" s="50" t="s">
        <v>383</v>
      </c>
      <c r="I9" s="49" t="s">
        <v>387</v>
      </c>
    </row>
    <row r="10" spans="1:9" ht="32">
      <c r="A10" s="53" t="s">
        <v>388</v>
      </c>
      <c r="B10" s="53" t="s">
        <v>108</v>
      </c>
      <c r="C10" s="52" t="s">
        <v>386</v>
      </c>
      <c r="D10" s="52" t="s">
        <v>383</v>
      </c>
      <c r="E10" s="52" t="s">
        <v>383</v>
      </c>
      <c r="F10" s="52" t="s">
        <v>383</v>
      </c>
      <c r="G10" s="52" t="s">
        <v>383</v>
      </c>
      <c r="H10" s="52" t="s">
        <v>383</v>
      </c>
      <c r="I10" s="51" t="s">
        <v>389</v>
      </c>
    </row>
    <row r="11" spans="1:9" ht="30">
      <c r="A11" s="49" t="s">
        <v>388</v>
      </c>
      <c r="B11" s="49" t="s">
        <v>390</v>
      </c>
      <c r="C11" s="50" t="s">
        <v>386</v>
      </c>
      <c r="D11" s="50" t="s">
        <v>386</v>
      </c>
      <c r="E11" s="50" t="s">
        <v>386</v>
      </c>
      <c r="F11" s="50" t="s">
        <v>391</v>
      </c>
      <c r="G11" s="50" t="s">
        <v>391</v>
      </c>
      <c r="H11" s="50" t="s">
        <v>391</v>
      </c>
      <c r="I11" s="49" t="s">
        <v>392</v>
      </c>
    </row>
    <row r="12" spans="1:9" ht="16">
      <c r="A12" s="53" t="s">
        <v>393</v>
      </c>
      <c r="B12" s="53" t="s">
        <v>126</v>
      </c>
      <c r="C12" s="52" t="s">
        <v>386</v>
      </c>
      <c r="D12" s="52" t="s">
        <v>386</v>
      </c>
      <c r="E12" s="52" t="s">
        <v>394</v>
      </c>
      <c r="F12" s="52" t="s">
        <v>394</v>
      </c>
      <c r="G12" s="52" t="s">
        <v>394</v>
      </c>
      <c r="H12" s="52" t="s">
        <v>395</v>
      </c>
      <c r="I12" s="51" t="s">
        <v>396</v>
      </c>
    </row>
    <row r="13" spans="1:9" ht="32">
      <c r="A13" s="53" t="s">
        <v>397</v>
      </c>
      <c r="B13" s="53" t="s">
        <v>398</v>
      </c>
      <c r="C13" s="52" t="s">
        <v>386</v>
      </c>
      <c r="D13" s="52" t="s">
        <v>391</v>
      </c>
      <c r="E13" s="52" t="s">
        <v>399</v>
      </c>
      <c r="F13" s="52" t="s">
        <v>400</v>
      </c>
      <c r="G13" s="52" t="s">
        <v>401</v>
      </c>
      <c r="H13" s="52" t="s">
        <v>401</v>
      </c>
      <c r="I13" s="51" t="s">
        <v>402</v>
      </c>
    </row>
    <row r="14" spans="1:9" ht="30">
      <c r="A14" s="49" t="s">
        <v>397</v>
      </c>
      <c r="B14" s="49" t="s">
        <v>403</v>
      </c>
      <c r="C14" s="50" t="s">
        <v>399</v>
      </c>
      <c r="D14" s="50" t="s">
        <v>399</v>
      </c>
      <c r="E14" s="50" t="s">
        <v>400</v>
      </c>
      <c r="F14" s="50" t="s">
        <v>400</v>
      </c>
      <c r="G14" s="50" t="s">
        <v>401</v>
      </c>
      <c r="H14" s="50" t="s">
        <v>23</v>
      </c>
      <c r="I14" s="49" t="s">
        <v>404</v>
      </c>
    </row>
    <row r="15" spans="1:9" ht="32">
      <c r="A15" s="53" t="s">
        <v>405</v>
      </c>
      <c r="B15" s="53" t="s">
        <v>406</v>
      </c>
      <c r="C15" s="52" t="s">
        <v>386</v>
      </c>
      <c r="D15" s="52" t="s">
        <v>386</v>
      </c>
      <c r="E15" s="52" t="s">
        <v>386</v>
      </c>
      <c r="F15" s="52" t="s">
        <v>391</v>
      </c>
      <c r="G15" s="52" t="s">
        <v>391</v>
      </c>
      <c r="H15" s="52" t="s">
        <v>391</v>
      </c>
      <c r="I15" s="51" t="s">
        <v>407</v>
      </c>
    </row>
    <row r="16" spans="1:9" ht="30">
      <c r="A16" s="49" t="s">
        <v>405</v>
      </c>
      <c r="B16" s="49" t="s">
        <v>408</v>
      </c>
      <c r="C16" s="50" t="s">
        <v>386</v>
      </c>
      <c r="D16" s="50" t="s">
        <v>386</v>
      </c>
      <c r="E16" s="50" t="s">
        <v>386</v>
      </c>
      <c r="F16" s="50" t="s">
        <v>386</v>
      </c>
      <c r="G16" s="50" t="s">
        <v>391</v>
      </c>
      <c r="H16" s="50" t="s">
        <v>391</v>
      </c>
      <c r="I16" s="49" t="s">
        <v>409</v>
      </c>
    </row>
    <row r="17" spans="1:9" ht="30">
      <c r="A17" s="49" t="s">
        <v>405</v>
      </c>
      <c r="B17" s="49" t="s">
        <v>188</v>
      </c>
      <c r="C17" s="50" t="s">
        <v>386</v>
      </c>
      <c r="D17" s="50" t="s">
        <v>386</v>
      </c>
      <c r="E17" s="50" t="s">
        <v>383</v>
      </c>
      <c r="F17" s="50" t="s">
        <v>383</v>
      </c>
      <c r="G17" s="50" t="s">
        <v>383</v>
      </c>
      <c r="H17" s="50" t="s">
        <v>383</v>
      </c>
      <c r="I17" s="49" t="s">
        <v>410</v>
      </c>
    </row>
    <row r="18" spans="1:9" ht="30">
      <c r="A18" s="49" t="s">
        <v>405</v>
      </c>
      <c r="B18" s="49" t="s">
        <v>197</v>
      </c>
      <c r="C18" s="50" t="s">
        <v>386</v>
      </c>
      <c r="D18" s="50" t="s">
        <v>386</v>
      </c>
      <c r="E18" s="50" t="s">
        <v>386</v>
      </c>
      <c r="F18" s="50" t="s">
        <v>386</v>
      </c>
      <c r="G18" s="50" t="s">
        <v>391</v>
      </c>
      <c r="H18" s="50" t="s">
        <v>391</v>
      </c>
      <c r="I18" s="49" t="s">
        <v>411</v>
      </c>
    </row>
    <row r="19" spans="1:9" ht="16">
      <c r="A19" s="53" t="s">
        <v>412</v>
      </c>
      <c r="B19" s="53" t="s">
        <v>205</v>
      </c>
      <c r="C19" s="52" t="s">
        <v>383</v>
      </c>
      <c r="D19" s="52" t="s">
        <v>383</v>
      </c>
      <c r="E19" s="52" t="s">
        <v>383</v>
      </c>
      <c r="F19" s="52" t="s">
        <v>383</v>
      </c>
      <c r="G19" s="52" t="s">
        <v>383</v>
      </c>
      <c r="H19" s="52" t="s">
        <v>383</v>
      </c>
      <c r="I19" s="51" t="s">
        <v>413</v>
      </c>
    </row>
    <row r="20" spans="1:9" ht="15">
      <c r="A20" s="49" t="s">
        <v>412</v>
      </c>
      <c r="B20" s="49" t="s">
        <v>213</v>
      </c>
      <c r="C20" s="50" t="s">
        <v>383</v>
      </c>
      <c r="D20" s="50" t="s">
        <v>383</v>
      </c>
      <c r="E20" s="50" t="s">
        <v>383</v>
      </c>
      <c r="F20" s="50" t="s">
        <v>383</v>
      </c>
      <c r="G20" s="50" t="s">
        <v>383</v>
      </c>
      <c r="H20" s="50" t="s">
        <v>383</v>
      </c>
      <c r="I20" s="49" t="s">
        <v>414</v>
      </c>
    </row>
    <row r="21" spans="1:9" ht="15">
      <c r="A21" s="49" t="s">
        <v>412</v>
      </c>
      <c r="B21" s="49" t="s">
        <v>221</v>
      </c>
      <c r="C21" s="50" t="s">
        <v>386</v>
      </c>
      <c r="D21" s="50" t="s">
        <v>386</v>
      </c>
      <c r="E21" s="50" t="s">
        <v>391</v>
      </c>
      <c r="F21" s="50" t="s">
        <v>391</v>
      </c>
      <c r="G21" s="50" t="s">
        <v>391</v>
      </c>
      <c r="H21" s="50" t="s">
        <v>391</v>
      </c>
      <c r="I21" s="49" t="s">
        <v>415</v>
      </c>
    </row>
    <row r="22" spans="1:9" ht="15">
      <c r="A22" s="49" t="s">
        <v>412</v>
      </c>
      <c r="B22" s="49" t="s">
        <v>230</v>
      </c>
      <c r="C22" s="50" t="s">
        <v>386</v>
      </c>
      <c r="D22" s="50" t="s">
        <v>386</v>
      </c>
      <c r="E22" s="50" t="s">
        <v>386</v>
      </c>
      <c r="F22" s="50" t="s">
        <v>386</v>
      </c>
      <c r="G22" s="50" t="s">
        <v>386</v>
      </c>
      <c r="H22" s="50" t="s">
        <v>391</v>
      </c>
      <c r="I22" s="49" t="s">
        <v>416</v>
      </c>
    </row>
    <row r="23" spans="1:9" ht="30">
      <c r="A23" s="49" t="s">
        <v>412</v>
      </c>
      <c r="B23" s="49" t="s">
        <v>238</v>
      </c>
      <c r="C23" s="50" t="s">
        <v>386</v>
      </c>
      <c r="D23" s="50" t="s">
        <v>386</v>
      </c>
      <c r="E23" s="50" t="s">
        <v>386</v>
      </c>
      <c r="F23" s="50" t="s">
        <v>391</v>
      </c>
      <c r="G23" s="50" t="s">
        <v>391</v>
      </c>
      <c r="H23" s="50" t="s">
        <v>391</v>
      </c>
      <c r="I23" s="49" t="s">
        <v>417</v>
      </c>
    </row>
    <row r="24" spans="1:9" ht="32">
      <c r="A24" s="53" t="s">
        <v>418</v>
      </c>
      <c r="B24" s="53" t="s">
        <v>527</v>
      </c>
      <c r="C24" s="52" t="s">
        <v>386</v>
      </c>
      <c r="D24" s="52">
        <v>1</v>
      </c>
      <c r="E24" s="52">
        <v>2</v>
      </c>
      <c r="F24" s="52">
        <v>3</v>
      </c>
      <c r="G24" s="52">
        <v>5</v>
      </c>
      <c r="H24" s="52">
        <v>10</v>
      </c>
      <c r="I24" s="51" t="s">
        <v>419</v>
      </c>
    </row>
    <row r="25" spans="1:9" ht="30">
      <c r="A25" s="49" t="s">
        <v>418</v>
      </c>
      <c r="B25" s="49" t="s">
        <v>255</v>
      </c>
      <c r="C25" s="50" t="s">
        <v>386</v>
      </c>
      <c r="D25" s="50" t="s">
        <v>386</v>
      </c>
      <c r="E25" s="50" t="s">
        <v>420</v>
      </c>
      <c r="F25" s="50" t="s">
        <v>420</v>
      </c>
      <c r="G25" s="50" t="s">
        <v>421</v>
      </c>
      <c r="H25" s="50" t="s">
        <v>422</v>
      </c>
      <c r="I25" s="49" t="s">
        <v>423</v>
      </c>
    </row>
    <row r="26" spans="1:9" ht="30">
      <c r="A26" s="49" t="s">
        <v>418</v>
      </c>
      <c r="B26" s="49" t="s">
        <v>264</v>
      </c>
      <c r="C26" s="50" t="s">
        <v>391</v>
      </c>
      <c r="D26" s="50" t="s">
        <v>391</v>
      </c>
      <c r="E26" s="50" t="s">
        <v>391</v>
      </c>
      <c r="F26" s="50" t="s">
        <v>391</v>
      </c>
      <c r="G26" s="50" t="s">
        <v>391</v>
      </c>
      <c r="H26" s="50" t="s">
        <v>391</v>
      </c>
      <c r="I26" s="49" t="s">
        <v>424</v>
      </c>
    </row>
    <row r="27" spans="1:9" ht="30">
      <c r="A27" s="49" t="s">
        <v>418</v>
      </c>
      <c r="B27" s="49" t="s">
        <v>273</v>
      </c>
      <c r="C27" s="50" t="s">
        <v>386</v>
      </c>
      <c r="D27" s="50" t="s">
        <v>386</v>
      </c>
      <c r="E27" s="50" t="s">
        <v>383</v>
      </c>
      <c r="F27" s="50" t="s">
        <v>383</v>
      </c>
      <c r="G27" s="50" t="s">
        <v>383</v>
      </c>
      <c r="H27" s="50" t="s">
        <v>383</v>
      </c>
      <c r="I27" s="49" t="s">
        <v>425</v>
      </c>
    </row>
    <row r="28" spans="1:9" ht="30">
      <c r="A28" s="49" t="s">
        <v>418</v>
      </c>
      <c r="B28" s="49" t="s">
        <v>281</v>
      </c>
      <c r="C28" s="50" t="s">
        <v>386</v>
      </c>
      <c r="D28" s="50" t="s">
        <v>386</v>
      </c>
      <c r="E28" s="50" t="s">
        <v>386</v>
      </c>
      <c r="F28" s="50" t="s">
        <v>391</v>
      </c>
      <c r="G28" s="50" t="s">
        <v>391</v>
      </c>
      <c r="H28" s="50" t="s">
        <v>391</v>
      </c>
      <c r="I28" s="49" t="s">
        <v>426</v>
      </c>
    </row>
    <row r="29" spans="1:9" ht="30">
      <c r="A29" s="49" t="s">
        <v>418</v>
      </c>
      <c r="B29" s="49" t="s">
        <v>427</v>
      </c>
      <c r="C29" s="50" t="s">
        <v>386</v>
      </c>
      <c r="D29" s="50" t="s">
        <v>386</v>
      </c>
      <c r="E29" s="50" t="s">
        <v>428</v>
      </c>
      <c r="F29" s="50" t="s">
        <v>428</v>
      </c>
      <c r="G29" s="50" t="s">
        <v>428</v>
      </c>
      <c r="H29" s="50" t="s">
        <v>428</v>
      </c>
      <c r="I29" s="49" t="s">
        <v>429</v>
      </c>
    </row>
    <row r="31" spans="1:9" ht="15">
      <c r="A31" s="81" t="s">
        <v>430</v>
      </c>
      <c r="B31" s="81"/>
      <c r="C31" s="81"/>
      <c r="D31" s="81"/>
      <c r="E31" s="81"/>
      <c r="F31" s="81"/>
      <c r="G31" s="81"/>
      <c r="H31" s="81"/>
      <c r="I31" s="81"/>
    </row>
    <row r="32" spans="1:9" ht="32" customHeight="1">
      <c r="A32" s="82" t="s">
        <v>431</v>
      </c>
      <c r="B32" s="82"/>
      <c r="C32" s="82"/>
      <c r="D32" s="82"/>
      <c r="E32" s="82"/>
      <c r="F32" s="82"/>
      <c r="G32" s="82"/>
      <c r="H32" s="82"/>
      <c r="I32" s="82"/>
    </row>
    <row r="33" spans="1:9" ht="32" customHeight="1">
      <c r="A33" s="82" t="s">
        <v>432</v>
      </c>
      <c r="B33" s="82"/>
      <c r="C33" s="82"/>
      <c r="D33" s="82"/>
      <c r="E33" s="82"/>
      <c r="F33" s="82"/>
      <c r="G33" s="82"/>
      <c r="H33" s="82"/>
      <c r="I33" s="82"/>
    </row>
    <row r="34" spans="1:9" ht="32" customHeight="1">
      <c r="A34" s="82" t="s">
        <v>433</v>
      </c>
      <c r="B34" s="82"/>
      <c r="C34" s="82"/>
      <c r="D34" s="82"/>
      <c r="E34" s="82"/>
      <c r="F34" s="82"/>
      <c r="G34" s="82"/>
      <c r="H34" s="82"/>
      <c r="I34" s="82"/>
    </row>
    <row r="35" spans="1:9" ht="32" customHeight="1">
      <c r="A35" s="82" t="s">
        <v>434</v>
      </c>
      <c r="B35" s="82"/>
      <c r="C35" s="82"/>
      <c r="D35" s="82"/>
      <c r="E35" s="82"/>
      <c r="F35" s="82"/>
      <c r="G35" s="82"/>
      <c r="H35" s="82"/>
      <c r="I35" s="82"/>
    </row>
  </sheetData>
  <mergeCells count="7">
    <mergeCell ref="A34:I34"/>
    <mergeCell ref="A35:I35"/>
    <mergeCell ref="A1:I1"/>
    <mergeCell ref="A2:I2"/>
    <mergeCell ref="A31:I31"/>
    <mergeCell ref="A32:I32"/>
    <mergeCell ref="A33:I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0"/>
  <sheetViews>
    <sheetView topLeftCell="A3" workbookViewId="0">
      <selection activeCell="E26" sqref="E26"/>
    </sheetView>
  </sheetViews>
  <sheetFormatPr baseColWidth="10" defaultColWidth="8.83203125" defaultRowHeight="14"/>
  <cols>
    <col min="1" max="1" width="9" customWidth="1"/>
    <col min="2" max="2" width="26" customWidth="1"/>
    <col min="3" max="3" width="38" customWidth="1"/>
    <col min="4" max="4" width="13" customWidth="1"/>
    <col min="5" max="5" width="12" customWidth="1"/>
    <col min="6" max="8" width="13" customWidth="1"/>
    <col min="9" max="10" width="14" customWidth="1"/>
    <col min="11" max="11" width="18" customWidth="1"/>
    <col min="12" max="12" width="15" customWidth="1"/>
    <col min="13" max="13" width="12" customWidth="1"/>
    <col min="14" max="14" width="13" customWidth="1"/>
  </cols>
  <sheetData>
    <row r="1" spans="1:14" ht="19">
      <c r="A1" s="83" t="s">
        <v>435</v>
      </c>
      <c r="B1" s="83"/>
      <c r="C1" s="83"/>
      <c r="D1" s="83"/>
      <c r="E1" s="83"/>
      <c r="F1" s="83"/>
      <c r="G1" s="83"/>
      <c r="H1" s="83"/>
      <c r="I1" s="83"/>
      <c r="J1" s="83"/>
      <c r="K1" s="83"/>
      <c r="L1" s="83"/>
      <c r="M1" s="83"/>
      <c r="N1" s="83"/>
    </row>
    <row r="2" spans="1:14" ht="15">
      <c r="A2" s="84" t="s">
        <v>436</v>
      </c>
      <c r="B2" s="84"/>
      <c r="C2" s="84"/>
      <c r="D2" s="84"/>
      <c r="E2" s="84"/>
      <c r="F2" s="84"/>
      <c r="G2" s="84"/>
      <c r="H2" s="84"/>
      <c r="I2" s="84"/>
      <c r="J2" s="84"/>
      <c r="K2" s="84"/>
      <c r="L2" s="84"/>
      <c r="M2" s="84"/>
      <c r="N2" s="84"/>
    </row>
    <row r="4" spans="1:14" ht="32">
      <c r="A4" s="44" t="s">
        <v>60</v>
      </c>
      <c r="B4" s="44" t="s">
        <v>34</v>
      </c>
      <c r="C4" s="44" t="s">
        <v>61</v>
      </c>
      <c r="D4" s="44" t="s">
        <v>63</v>
      </c>
      <c r="E4" s="44" t="s">
        <v>66</v>
      </c>
      <c r="F4" s="44" t="s">
        <v>370</v>
      </c>
      <c r="G4" s="44" t="s">
        <v>371</v>
      </c>
      <c r="H4" s="44" t="s">
        <v>372</v>
      </c>
      <c r="I4" s="44" t="s">
        <v>373</v>
      </c>
      <c r="J4" s="44" t="s">
        <v>374</v>
      </c>
      <c r="K4" s="44" t="s">
        <v>375</v>
      </c>
      <c r="L4" s="44" t="s">
        <v>437</v>
      </c>
      <c r="M4" s="44" t="s">
        <v>69</v>
      </c>
      <c r="N4" s="44" t="s">
        <v>70</v>
      </c>
    </row>
    <row r="5" spans="1:14" ht="15">
      <c r="A5" s="45"/>
      <c r="B5" s="45"/>
      <c r="C5" s="45"/>
      <c r="D5" s="45" t="s">
        <v>438</v>
      </c>
      <c r="E5" s="45"/>
      <c r="F5" s="45">
        <v>3</v>
      </c>
      <c r="G5" s="45">
        <v>3</v>
      </c>
      <c r="H5" s="45">
        <v>2</v>
      </c>
      <c r="I5" s="45">
        <v>2</v>
      </c>
      <c r="J5" s="45">
        <v>1</v>
      </c>
      <c r="K5" s="45">
        <v>1</v>
      </c>
      <c r="L5" s="45"/>
      <c r="M5" s="45"/>
      <c r="N5" s="45"/>
    </row>
    <row r="6" spans="1:14" ht="16">
      <c r="A6" s="49" t="s">
        <v>81</v>
      </c>
      <c r="B6" s="49" t="s">
        <v>38</v>
      </c>
      <c r="C6" s="49" t="s">
        <v>82</v>
      </c>
      <c r="D6" s="49" t="s">
        <v>84</v>
      </c>
      <c r="E6" s="49">
        <v>12</v>
      </c>
      <c r="F6" s="50">
        <v>1</v>
      </c>
      <c r="G6" s="50">
        <v>1</v>
      </c>
      <c r="H6" s="50">
        <v>1</v>
      </c>
      <c r="I6" s="50">
        <v>1</v>
      </c>
      <c r="J6" s="50">
        <v>1</v>
      </c>
      <c r="K6" s="50">
        <v>1</v>
      </c>
      <c r="L6" s="50">
        <f t="shared" ref="L6:L30" si="0">F6*$F$5+G6*$G$5+H6*$H$5+I6*$I$5+J6*$J$5+K6*$K$5</f>
        <v>12</v>
      </c>
      <c r="M6" s="50">
        <f t="shared" ref="M6:M30" si="1">E6-L6</f>
        <v>0</v>
      </c>
      <c r="N6" s="50" t="str">
        <f t="shared" ref="N6:N30" si="2">IF(M6&lt;0,"VƯỢT CAP",IF(M6=0,"HẾT","OK"))</f>
        <v>HẾT</v>
      </c>
    </row>
    <row r="7" spans="1:14" ht="16">
      <c r="A7" s="49" t="s">
        <v>93</v>
      </c>
      <c r="B7" s="49" t="s">
        <v>38</v>
      </c>
      <c r="C7" s="49" t="s">
        <v>94</v>
      </c>
      <c r="D7" s="49" t="s">
        <v>84</v>
      </c>
      <c r="E7" s="49">
        <v>12</v>
      </c>
      <c r="F7" s="50">
        <v>1</v>
      </c>
      <c r="G7" s="50">
        <v>1</v>
      </c>
      <c r="H7" s="50">
        <v>1</v>
      </c>
      <c r="I7" s="50">
        <v>1</v>
      </c>
      <c r="J7" s="50">
        <v>1</v>
      </c>
      <c r="K7" s="50">
        <v>1</v>
      </c>
      <c r="L7" s="50">
        <f t="shared" si="0"/>
        <v>12</v>
      </c>
      <c r="M7" s="50">
        <f t="shared" si="1"/>
        <v>0</v>
      </c>
      <c r="N7" s="50" t="str">
        <f t="shared" si="2"/>
        <v>HẾT</v>
      </c>
    </row>
    <row r="8" spans="1:14" ht="15">
      <c r="A8" s="49" t="s">
        <v>100</v>
      </c>
      <c r="B8" s="49" t="s">
        <v>38</v>
      </c>
      <c r="C8" s="49" t="s">
        <v>101</v>
      </c>
      <c r="D8" s="49" t="s">
        <v>84</v>
      </c>
      <c r="E8" s="49">
        <v>10</v>
      </c>
      <c r="F8" s="50">
        <v>0</v>
      </c>
      <c r="G8" s="50">
        <v>1</v>
      </c>
      <c r="H8" s="50">
        <v>1</v>
      </c>
      <c r="I8" s="50">
        <v>1</v>
      </c>
      <c r="J8" s="50">
        <v>1</v>
      </c>
      <c r="K8" s="50">
        <v>1</v>
      </c>
      <c r="L8" s="50">
        <f t="shared" si="0"/>
        <v>9</v>
      </c>
      <c r="M8" s="50">
        <f t="shared" si="1"/>
        <v>1</v>
      </c>
      <c r="N8" s="50" t="str">
        <f t="shared" si="2"/>
        <v>OK</v>
      </c>
    </row>
    <row r="9" spans="1:14" ht="15">
      <c r="A9" s="49" t="s">
        <v>107</v>
      </c>
      <c r="B9" s="49" t="s">
        <v>41</v>
      </c>
      <c r="C9" s="49" t="s">
        <v>108</v>
      </c>
      <c r="D9" s="49" t="s">
        <v>84</v>
      </c>
      <c r="E9" s="49">
        <v>10</v>
      </c>
      <c r="F9" s="50">
        <v>0</v>
      </c>
      <c r="G9" s="50">
        <v>1</v>
      </c>
      <c r="H9" s="50">
        <v>1</v>
      </c>
      <c r="I9" s="50">
        <v>1</v>
      </c>
      <c r="J9" s="50">
        <v>1</v>
      </c>
      <c r="K9" s="50">
        <v>1</v>
      </c>
      <c r="L9" s="50">
        <f t="shared" si="0"/>
        <v>9</v>
      </c>
      <c r="M9" s="50">
        <f t="shared" si="1"/>
        <v>1</v>
      </c>
      <c r="N9" s="50" t="str">
        <f t="shared" si="2"/>
        <v>OK</v>
      </c>
    </row>
    <row r="10" spans="1:14" ht="16">
      <c r="A10" s="49" t="s">
        <v>115</v>
      </c>
      <c r="B10" s="49" t="s">
        <v>41</v>
      </c>
      <c r="C10" s="49" t="s">
        <v>116</v>
      </c>
      <c r="D10" s="49" t="s">
        <v>118</v>
      </c>
      <c r="E10" s="49">
        <v>4</v>
      </c>
      <c r="F10" s="50">
        <v>0</v>
      </c>
      <c r="G10" s="50">
        <v>0</v>
      </c>
      <c r="H10" s="50">
        <v>0</v>
      </c>
      <c r="I10" s="50">
        <v>1</v>
      </c>
      <c r="J10" s="50">
        <v>1</v>
      </c>
      <c r="K10" s="50">
        <v>1</v>
      </c>
      <c r="L10" s="50">
        <f t="shared" si="0"/>
        <v>4</v>
      </c>
      <c r="M10" s="50">
        <f t="shared" si="1"/>
        <v>0</v>
      </c>
      <c r="N10" s="50" t="str">
        <f t="shared" si="2"/>
        <v>HẾT</v>
      </c>
    </row>
    <row r="11" spans="1:14" ht="15">
      <c r="A11" s="49" t="s">
        <v>125</v>
      </c>
      <c r="B11" s="49" t="s">
        <v>44</v>
      </c>
      <c r="C11" s="49" t="s">
        <v>126</v>
      </c>
      <c r="D11" s="49" t="s">
        <v>128</v>
      </c>
      <c r="E11" s="49">
        <v>8</v>
      </c>
      <c r="F11" s="50">
        <v>0</v>
      </c>
      <c r="G11" s="50">
        <v>0</v>
      </c>
      <c r="H11" s="50">
        <v>1</v>
      </c>
      <c r="I11" s="50">
        <v>1</v>
      </c>
      <c r="J11" s="50">
        <v>1</v>
      </c>
      <c r="K11" s="50">
        <v>2</v>
      </c>
      <c r="L11" s="50">
        <f t="shared" si="0"/>
        <v>7</v>
      </c>
      <c r="M11" s="50">
        <f t="shared" si="1"/>
        <v>1</v>
      </c>
      <c r="N11" s="50" t="str">
        <f t="shared" si="2"/>
        <v>OK</v>
      </c>
    </row>
    <row r="12" spans="1:14" ht="15">
      <c r="A12" s="49" t="s">
        <v>134</v>
      </c>
      <c r="B12" s="49" t="s">
        <v>44</v>
      </c>
      <c r="C12" s="49" t="s">
        <v>135</v>
      </c>
      <c r="D12" s="49" t="s">
        <v>137</v>
      </c>
      <c r="E12" s="49">
        <v>2</v>
      </c>
      <c r="F12" s="50">
        <v>0</v>
      </c>
      <c r="G12" s="50">
        <v>0</v>
      </c>
      <c r="H12" s="50">
        <v>0</v>
      </c>
      <c r="I12" s="50">
        <v>0</v>
      </c>
      <c r="J12" s="50">
        <v>0</v>
      </c>
      <c r="K12" s="50">
        <v>0</v>
      </c>
      <c r="L12" s="50">
        <f t="shared" si="0"/>
        <v>0</v>
      </c>
      <c r="M12" s="50">
        <f t="shared" si="1"/>
        <v>2</v>
      </c>
      <c r="N12" s="50" t="str">
        <f t="shared" si="2"/>
        <v>OK</v>
      </c>
    </row>
    <row r="13" spans="1:14" ht="15">
      <c r="A13" s="49" t="s">
        <v>145</v>
      </c>
      <c r="B13" s="49" t="s">
        <v>44</v>
      </c>
      <c r="C13" s="49" t="s">
        <v>146</v>
      </c>
      <c r="D13" s="49" t="s">
        <v>148</v>
      </c>
      <c r="E13" s="49">
        <v>4</v>
      </c>
      <c r="F13" s="50">
        <v>0</v>
      </c>
      <c r="G13" s="50">
        <v>0</v>
      </c>
      <c r="H13" s="50">
        <v>0</v>
      </c>
      <c r="I13" s="50">
        <v>0</v>
      </c>
      <c r="J13" s="50">
        <v>0</v>
      </c>
      <c r="K13" s="50">
        <v>0</v>
      </c>
      <c r="L13" s="50">
        <f t="shared" si="0"/>
        <v>0</v>
      </c>
      <c r="M13" s="50">
        <f t="shared" si="1"/>
        <v>4</v>
      </c>
      <c r="N13" s="50" t="str">
        <f t="shared" si="2"/>
        <v>OK</v>
      </c>
    </row>
    <row r="14" spans="1:14" ht="15">
      <c r="A14" s="49" t="s">
        <v>153</v>
      </c>
      <c r="B14" s="49" t="s">
        <v>47</v>
      </c>
      <c r="C14" s="49" t="s">
        <v>154</v>
      </c>
      <c r="D14" s="49" t="s">
        <v>156</v>
      </c>
      <c r="E14" s="49">
        <v>32</v>
      </c>
      <c r="F14" s="50">
        <v>0</v>
      </c>
      <c r="G14" s="50">
        <v>1</v>
      </c>
      <c r="H14" s="50">
        <v>2</v>
      </c>
      <c r="I14" s="50">
        <v>4</v>
      </c>
      <c r="J14" s="50">
        <v>8</v>
      </c>
      <c r="K14" s="50">
        <v>8</v>
      </c>
      <c r="L14" s="50">
        <f t="shared" si="0"/>
        <v>31</v>
      </c>
      <c r="M14" s="50">
        <f t="shared" si="1"/>
        <v>1</v>
      </c>
      <c r="N14" s="50" t="str">
        <f t="shared" si="2"/>
        <v>OK</v>
      </c>
    </row>
    <row r="15" spans="1:14" ht="15">
      <c r="A15" s="49" t="s">
        <v>162</v>
      </c>
      <c r="B15" s="49" t="s">
        <v>47</v>
      </c>
      <c r="C15" s="49" t="s">
        <v>163</v>
      </c>
      <c r="D15" s="49" t="s">
        <v>165</v>
      </c>
      <c r="E15" s="49">
        <v>60</v>
      </c>
      <c r="F15" s="50">
        <v>2</v>
      </c>
      <c r="G15" s="50">
        <v>2</v>
      </c>
      <c r="H15" s="50">
        <v>4</v>
      </c>
      <c r="I15" s="50">
        <v>4</v>
      </c>
      <c r="J15" s="50">
        <v>8</v>
      </c>
      <c r="K15" s="50">
        <v>10</v>
      </c>
      <c r="L15" s="50">
        <f t="shared" si="0"/>
        <v>46</v>
      </c>
      <c r="M15" s="50">
        <f t="shared" si="1"/>
        <v>14</v>
      </c>
      <c r="N15" s="50" t="str">
        <f t="shared" si="2"/>
        <v>OK</v>
      </c>
    </row>
    <row r="16" spans="1:14" ht="30">
      <c r="A16" s="49" t="s">
        <v>171</v>
      </c>
      <c r="B16" s="49" t="s">
        <v>50</v>
      </c>
      <c r="C16" s="49" t="s">
        <v>172</v>
      </c>
      <c r="D16" s="49" t="s">
        <v>118</v>
      </c>
      <c r="E16" s="49">
        <v>4</v>
      </c>
      <c r="F16" s="50">
        <v>0</v>
      </c>
      <c r="G16" s="50">
        <v>0</v>
      </c>
      <c r="H16" s="50">
        <v>0</v>
      </c>
      <c r="I16" s="50">
        <v>1</v>
      </c>
      <c r="J16" s="50">
        <v>1</v>
      </c>
      <c r="K16" s="50">
        <v>1</v>
      </c>
      <c r="L16" s="50">
        <f t="shared" si="0"/>
        <v>4</v>
      </c>
      <c r="M16" s="50">
        <f t="shared" si="1"/>
        <v>0</v>
      </c>
      <c r="N16" s="50" t="str">
        <f t="shared" si="2"/>
        <v>HẾT</v>
      </c>
    </row>
    <row r="17" spans="1:14" ht="30">
      <c r="A17" s="49" t="s">
        <v>179</v>
      </c>
      <c r="B17" s="49" t="s">
        <v>50</v>
      </c>
      <c r="C17" s="49" t="s">
        <v>180</v>
      </c>
      <c r="D17" s="49" t="s">
        <v>118</v>
      </c>
      <c r="E17" s="49">
        <v>2</v>
      </c>
      <c r="F17" s="50">
        <v>0</v>
      </c>
      <c r="G17" s="50">
        <v>0</v>
      </c>
      <c r="H17" s="50">
        <v>0</v>
      </c>
      <c r="I17" s="50">
        <v>0</v>
      </c>
      <c r="J17" s="50">
        <v>1</v>
      </c>
      <c r="K17" s="50">
        <v>1</v>
      </c>
      <c r="L17" s="50">
        <f t="shared" si="0"/>
        <v>2</v>
      </c>
      <c r="M17" s="50">
        <f t="shared" si="1"/>
        <v>0</v>
      </c>
      <c r="N17" s="50" t="str">
        <f t="shared" si="2"/>
        <v>HẾT</v>
      </c>
    </row>
    <row r="18" spans="1:14" ht="30">
      <c r="A18" s="49" t="s">
        <v>187</v>
      </c>
      <c r="B18" s="49" t="s">
        <v>50</v>
      </c>
      <c r="C18" s="49" t="s">
        <v>188</v>
      </c>
      <c r="D18" s="49" t="s">
        <v>190</v>
      </c>
      <c r="E18" s="49">
        <v>8</v>
      </c>
      <c r="F18" s="50">
        <v>0</v>
      </c>
      <c r="G18" s="50">
        <v>0</v>
      </c>
      <c r="H18" s="50">
        <v>1</v>
      </c>
      <c r="I18" s="50">
        <v>1</v>
      </c>
      <c r="J18" s="50">
        <v>1</v>
      </c>
      <c r="K18" s="50">
        <v>1</v>
      </c>
      <c r="L18" s="50">
        <f t="shared" si="0"/>
        <v>6</v>
      </c>
      <c r="M18" s="50">
        <f t="shared" si="1"/>
        <v>2</v>
      </c>
      <c r="N18" s="50" t="str">
        <f t="shared" si="2"/>
        <v>OK</v>
      </c>
    </row>
    <row r="19" spans="1:14" ht="30">
      <c r="A19" s="49" t="s">
        <v>196</v>
      </c>
      <c r="B19" s="49" t="s">
        <v>50</v>
      </c>
      <c r="C19" s="49" t="s">
        <v>197</v>
      </c>
      <c r="D19" s="49" t="s">
        <v>199</v>
      </c>
      <c r="E19" s="49">
        <v>3</v>
      </c>
      <c r="F19" s="50">
        <v>0</v>
      </c>
      <c r="G19" s="50">
        <v>0</v>
      </c>
      <c r="H19" s="50">
        <v>0</v>
      </c>
      <c r="I19" s="50">
        <v>0</v>
      </c>
      <c r="J19" s="50">
        <v>1</v>
      </c>
      <c r="K19" s="50">
        <v>1</v>
      </c>
      <c r="L19" s="50">
        <f t="shared" si="0"/>
        <v>2</v>
      </c>
      <c r="M19" s="50">
        <f t="shared" si="1"/>
        <v>1</v>
      </c>
      <c r="N19" s="50" t="str">
        <f t="shared" si="2"/>
        <v>OK</v>
      </c>
    </row>
    <row r="20" spans="1:14" ht="16">
      <c r="A20" s="49" t="s">
        <v>204</v>
      </c>
      <c r="B20" s="49" t="s">
        <v>53</v>
      </c>
      <c r="C20" s="49" t="s">
        <v>205</v>
      </c>
      <c r="D20" s="49" t="s">
        <v>84</v>
      </c>
      <c r="E20" s="49">
        <v>12</v>
      </c>
      <c r="F20" s="50">
        <v>1</v>
      </c>
      <c r="G20" s="50">
        <v>1</v>
      </c>
      <c r="H20" s="50">
        <v>1</v>
      </c>
      <c r="I20" s="50">
        <v>1</v>
      </c>
      <c r="J20" s="50">
        <v>1</v>
      </c>
      <c r="K20" s="50">
        <v>1</v>
      </c>
      <c r="L20" s="50">
        <f t="shared" si="0"/>
        <v>12</v>
      </c>
      <c r="M20" s="50">
        <f t="shared" si="1"/>
        <v>0</v>
      </c>
      <c r="N20" s="50" t="str">
        <f t="shared" si="2"/>
        <v>HẾT</v>
      </c>
    </row>
    <row r="21" spans="1:14" ht="16">
      <c r="A21" s="49" t="s">
        <v>212</v>
      </c>
      <c r="B21" s="49" t="s">
        <v>53</v>
      </c>
      <c r="C21" s="49" t="s">
        <v>213</v>
      </c>
      <c r="D21" s="49" t="s">
        <v>84</v>
      </c>
      <c r="E21" s="49">
        <v>12</v>
      </c>
      <c r="F21" s="50">
        <v>1</v>
      </c>
      <c r="G21" s="50">
        <v>1</v>
      </c>
      <c r="H21" s="50">
        <v>1</v>
      </c>
      <c r="I21" s="50">
        <v>1</v>
      </c>
      <c r="J21" s="50">
        <v>1</v>
      </c>
      <c r="K21" s="50">
        <v>1</v>
      </c>
      <c r="L21" s="50">
        <f t="shared" si="0"/>
        <v>12</v>
      </c>
      <c r="M21" s="50">
        <f t="shared" si="1"/>
        <v>0</v>
      </c>
      <c r="N21" s="50" t="str">
        <f t="shared" si="2"/>
        <v>HẾT</v>
      </c>
    </row>
    <row r="22" spans="1:14" ht="16">
      <c r="A22" s="49" t="s">
        <v>220</v>
      </c>
      <c r="B22" s="49" t="s">
        <v>53</v>
      </c>
      <c r="C22" s="49" t="s">
        <v>221</v>
      </c>
      <c r="D22" s="49" t="s">
        <v>223</v>
      </c>
      <c r="E22" s="49">
        <v>6</v>
      </c>
      <c r="F22" s="50">
        <v>0</v>
      </c>
      <c r="G22" s="50">
        <v>0</v>
      </c>
      <c r="H22" s="50">
        <v>1</v>
      </c>
      <c r="I22" s="50">
        <v>1</v>
      </c>
      <c r="J22" s="50">
        <v>1</v>
      </c>
      <c r="K22" s="50">
        <v>1</v>
      </c>
      <c r="L22" s="50">
        <f t="shared" si="0"/>
        <v>6</v>
      </c>
      <c r="M22" s="50">
        <f t="shared" si="1"/>
        <v>0</v>
      </c>
      <c r="N22" s="50" t="str">
        <f t="shared" si="2"/>
        <v>HẾT</v>
      </c>
    </row>
    <row r="23" spans="1:14" ht="16">
      <c r="A23" s="49" t="s">
        <v>229</v>
      </c>
      <c r="B23" s="49" t="s">
        <v>53</v>
      </c>
      <c r="C23" s="49" t="s">
        <v>230</v>
      </c>
      <c r="D23" s="49" t="s">
        <v>223</v>
      </c>
      <c r="E23" s="49">
        <v>1</v>
      </c>
      <c r="F23" s="50">
        <v>0</v>
      </c>
      <c r="G23" s="50">
        <v>0</v>
      </c>
      <c r="H23" s="50">
        <v>0</v>
      </c>
      <c r="I23" s="50">
        <v>0</v>
      </c>
      <c r="J23" s="50">
        <v>0</v>
      </c>
      <c r="K23" s="50">
        <v>1</v>
      </c>
      <c r="L23" s="50">
        <f t="shared" si="0"/>
        <v>1</v>
      </c>
      <c r="M23" s="50">
        <f t="shared" si="1"/>
        <v>0</v>
      </c>
      <c r="N23" s="50" t="str">
        <f t="shared" si="2"/>
        <v>HẾT</v>
      </c>
    </row>
    <row r="24" spans="1:14" ht="16">
      <c r="A24" s="49" t="s">
        <v>237</v>
      </c>
      <c r="B24" s="49" t="s">
        <v>53</v>
      </c>
      <c r="C24" s="49" t="s">
        <v>238</v>
      </c>
      <c r="D24" s="49" t="s">
        <v>223</v>
      </c>
      <c r="E24" s="49">
        <v>4</v>
      </c>
      <c r="F24" s="50">
        <v>0</v>
      </c>
      <c r="G24" s="50">
        <v>0</v>
      </c>
      <c r="H24" s="50">
        <v>0</v>
      </c>
      <c r="I24" s="50">
        <v>1</v>
      </c>
      <c r="J24" s="50">
        <v>1</v>
      </c>
      <c r="K24" s="50">
        <v>1</v>
      </c>
      <c r="L24" s="50">
        <f t="shared" si="0"/>
        <v>4</v>
      </c>
      <c r="M24" s="50">
        <f t="shared" si="1"/>
        <v>0</v>
      </c>
      <c r="N24" s="50" t="str">
        <f t="shared" si="2"/>
        <v>HẾT</v>
      </c>
    </row>
    <row r="25" spans="1:14" ht="30">
      <c r="A25" s="49" t="s">
        <v>245</v>
      </c>
      <c r="B25" s="49" t="s">
        <v>56</v>
      </c>
      <c r="C25" s="49" t="s">
        <v>528</v>
      </c>
      <c r="D25" s="49" t="s">
        <v>248</v>
      </c>
      <c r="E25" s="49">
        <v>28</v>
      </c>
      <c r="F25" s="50">
        <v>0</v>
      </c>
      <c r="G25" s="50">
        <v>1</v>
      </c>
      <c r="H25" s="50">
        <v>2</v>
      </c>
      <c r="I25" s="50">
        <v>3</v>
      </c>
      <c r="J25" s="50">
        <v>5</v>
      </c>
      <c r="K25" s="50">
        <v>10</v>
      </c>
      <c r="L25" s="50">
        <f t="shared" si="0"/>
        <v>28</v>
      </c>
      <c r="M25" s="50">
        <f t="shared" si="1"/>
        <v>0</v>
      </c>
      <c r="N25" s="50" t="str">
        <f t="shared" si="2"/>
        <v>HẾT</v>
      </c>
    </row>
    <row r="26" spans="1:14" ht="30">
      <c r="A26" s="49" t="s">
        <v>254</v>
      </c>
      <c r="B26" s="49" t="s">
        <v>56</v>
      </c>
      <c r="C26" s="49" t="s">
        <v>255</v>
      </c>
      <c r="D26" s="49" t="s">
        <v>257</v>
      </c>
      <c r="E26" s="49">
        <v>12</v>
      </c>
      <c r="F26" s="50">
        <v>0</v>
      </c>
      <c r="G26" s="50">
        <v>0</v>
      </c>
      <c r="H26" s="50">
        <v>1</v>
      </c>
      <c r="I26" s="50">
        <v>1</v>
      </c>
      <c r="J26" s="50">
        <v>2</v>
      </c>
      <c r="K26" s="50">
        <v>4</v>
      </c>
      <c r="L26" s="50">
        <f t="shared" si="0"/>
        <v>10</v>
      </c>
      <c r="M26" s="50">
        <f t="shared" si="1"/>
        <v>2</v>
      </c>
      <c r="N26" s="50" t="str">
        <f t="shared" si="2"/>
        <v>OK</v>
      </c>
    </row>
    <row r="27" spans="1:14" ht="30">
      <c r="A27" s="49" t="s">
        <v>263</v>
      </c>
      <c r="B27" s="49" t="s">
        <v>56</v>
      </c>
      <c r="C27" s="49" t="s">
        <v>264</v>
      </c>
      <c r="D27" s="49" t="s">
        <v>266</v>
      </c>
      <c r="E27" s="49">
        <v>12</v>
      </c>
      <c r="F27" s="50">
        <v>1</v>
      </c>
      <c r="G27" s="50">
        <v>1</v>
      </c>
      <c r="H27" s="50">
        <v>1</v>
      </c>
      <c r="I27" s="50">
        <v>1</v>
      </c>
      <c r="J27" s="50">
        <v>1</v>
      </c>
      <c r="K27" s="50">
        <v>1</v>
      </c>
      <c r="L27" s="50">
        <f t="shared" si="0"/>
        <v>12</v>
      </c>
      <c r="M27" s="50">
        <f t="shared" si="1"/>
        <v>0</v>
      </c>
      <c r="N27" s="50" t="str">
        <f t="shared" si="2"/>
        <v>HẾT</v>
      </c>
    </row>
    <row r="28" spans="1:14" ht="30">
      <c r="A28" s="49" t="s">
        <v>272</v>
      </c>
      <c r="B28" s="49" t="s">
        <v>56</v>
      </c>
      <c r="C28" s="49" t="s">
        <v>273</v>
      </c>
      <c r="D28" s="49" t="s">
        <v>84</v>
      </c>
      <c r="E28" s="49">
        <v>8</v>
      </c>
      <c r="F28" s="50">
        <v>0</v>
      </c>
      <c r="G28" s="50">
        <v>0</v>
      </c>
      <c r="H28" s="50">
        <v>1</v>
      </c>
      <c r="I28" s="50">
        <v>1</v>
      </c>
      <c r="J28" s="50">
        <v>1</v>
      </c>
      <c r="K28" s="50">
        <v>1</v>
      </c>
      <c r="L28" s="50">
        <f t="shared" si="0"/>
        <v>6</v>
      </c>
      <c r="M28" s="50">
        <f t="shared" si="1"/>
        <v>2</v>
      </c>
      <c r="N28" s="50" t="str">
        <f t="shared" si="2"/>
        <v>OK</v>
      </c>
    </row>
    <row r="29" spans="1:14" ht="30">
      <c r="A29" s="49" t="s">
        <v>280</v>
      </c>
      <c r="B29" s="49" t="s">
        <v>56</v>
      </c>
      <c r="C29" s="49" t="s">
        <v>281</v>
      </c>
      <c r="D29" s="49" t="s">
        <v>63</v>
      </c>
      <c r="E29" s="49">
        <v>4</v>
      </c>
      <c r="F29" s="50">
        <v>0</v>
      </c>
      <c r="G29" s="50">
        <v>0</v>
      </c>
      <c r="H29" s="50">
        <v>0</v>
      </c>
      <c r="I29" s="50">
        <v>1</v>
      </c>
      <c r="J29" s="50">
        <v>1</v>
      </c>
      <c r="K29" s="50">
        <v>1</v>
      </c>
      <c r="L29" s="50">
        <f t="shared" si="0"/>
        <v>4</v>
      </c>
      <c r="M29" s="50">
        <f t="shared" si="1"/>
        <v>0</v>
      </c>
      <c r="N29" s="50" t="str">
        <f t="shared" si="2"/>
        <v>HẾT</v>
      </c>
    </row>
    <row r="30" spans="1:14" ht="30">
      <c r="A30" s="49" t="s">
        <v>287</v>
      </c>
      <c r="B30" s="49" t="s">
        <v>56</v>
      </c>
      <c r="C30" s="49" t="s">
        <v>288</v>
      </c>
      <c r="D30" s="49" t="s">
        <v>290</v>
      </c>
      <c r="E30" s="49">
        <v>8</v>
      </c>
      <c r="F30" s="50">
        <v>0</v>
      </c>
      <c r="G30" s="50">
        <v>0</v>
      </c>
      <c r="H30" s="50">
        <v>1</v>
      </c>
      <c r="I30" s="50">
        <v>1</v>
      </c>
      <c r="J30" s="50">
        <v>1</v>
      </c>
      <c r="K30" s="50">
        <v>1</v>
      </c>
      <c r="L30" s="50">
        <f t="shared" si="0"/>
        <v>6</v>
      </c>
      <c r="M30" s="50">
        <f t="shared" si="1"/>
        <v>2</v>
      </c>
      <c r="N30" s="50" t="str">
        <f t="shared" si="2"/>
        <v>OK</v>
      </c>
    </row>
  </sheetData>
  <mergeCells count="2">
    <mergeCell ref="A1:N1"/>
    <mergeCell ref="A2:N2"/>
  </mergeCells>
  <conditionalFormatting sqref="N6:N30">
    <cfRule type="expression" dxfId="8" priority="1">
      <formula>N6="VƯỢT CAP"</formula>
    </cfRule>
    <cfRule type="expression" dxfId="7" priority="2">
      <formula>N6="HẾT"</formula>
    </cfRule>
    <cfRule type="expression" dxfId="6" priority="3">
      <formula>N6="OK"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5"/>
  <sheetViews>
    <sheetView workbookViewId="0"/>
  </sheetViews>
  <sheetFormatPr baseColWidth="10" defaultColWidth="8.83203125" defaultRowHeight="14"/>
  <cols>
    <col min="1" max="1" width="10" customWidth="1"/>
    <col min="2" max="2" width="27" customWidth="1"/>
    <col min="3" max="3" width="40" customWidth="1"/>
    <col min="4" max="4" width="13" customWidth="1"/>
    <col min="5" max="5" width="15" customWidth="1"/>
    <col min="6" max="7" width="12" customWidth="1"/>
    <col min="8" max="8" width="13" customWidth="1"/>
    <col min="9" max="9" width="24" customWidth="1"/>
    <col min="10" max="10" width="38" customWidth="1"/>
  </cols>
  <sheetData>
    <row r="1" spans="1:10" ht="19">
      <c r="A1" s="83" t="s">
        <v>439</v>
      </c>
      <c r="B1" s="83"/>
      <c r="C1" s="83"/>
      <c r="D1" s="83"/>
      <c r="E1" s="83"/>
      <c r="F1" s="83"/>
      <c r="G1" s="83"/>
      <c r="H1" s="83"/>
      <c r="I1" s="83"/>
      <c r="J1" s="83"/>
    </row>
    <row r="2" spans="1:10" ht="15">
      <c r="A2" s="84" t="s">
        <v>440</v>
      </c>
      <c r="B2" s="84"/>
      <c r="C2" s="84"/>
      <c r="D2" s="84"/>
      <c r="E2" s="84"/>
      <c r="F2" s="84"/>
      <c r="G2" s="84"/>
      <c r="H2" s="84"/>
      <c r="I2" s="84"/>
      <c r="J2" s="84"/>
    </row>
    <row r="4" spans="1:10" ht="32">
      <c r="A4" s="43" t="s">
        <v>60</v>
      </c>
      <c r="B4" s="43" t="s">
        <v>34</v>
      </c>
      <c r="C4" s="43" t="s">
        <v>61</v>
      </c>
      <c r="D4" s="43" t="s">
        <v>66</v>
      </c>
      <c r="E4" s="43" t="s">
        <v>441</v>
      </c>
      <c r="F4" s="43" t="s">
        <v>69</v>
      </c>
      <c r="G4" s="43" t="s">
        <v>442</v>
      </c>
      <c r="H4" s="43" t="s">
        <v>70</v>
      </c>
      <c r="I4" s="43" t="s">
        <v>443</v>
      </c>
      <c r="J4" s="43" t="s">
        <v>444</v>
      </c>
    </row>
    <row r="5" spans="1:10" ht="30">
      <c r="A5" s="49" t="s">
        <v>81</v>
      </c>
      <c r="B5" s="49" t="s">
        <v>38</v>
      </c>
      <c r="C5" s="49" t="s">
        <v>82</v>
      </c>
      <c r="D5" s="50">
        <v>12</v>
      </c>
      <c r="E5" s="50">
        <f>'07_Ma_tran_noi_bo'!L6</f>
        <v>12</v>
      </c>
      <c r="F5" s="50">
        <f>'07_Ma_tran_noi_bo'!M6</f>
        <v>0</v>
      </c>
      <c r="G5" s="54">
        <f t="shared" ref="G5:G29" si="0">IF(D5=0,0,E5/D5)</f>
        <v>1</v>
      </c>
      <c r="H5" s="50" t="str">
        <f>'07_Ma_tran_noi_bo'!N6</f>
        <v>HẾT</v>
      </c>
      <c r="I5" s="49" t="s">
        <v>445</v>
      </c>
      <c r="J5" s="49" t="s">
        <v>446</v>
      </c>
    </row>
    <row r="6" spans="1:10" ht="30">
      <c r="A6" s="49" t="s">
        <v>93</v>
      </c>
      <c r="B6" s="49" t="s">
        <v>38</v>
      </c>
      <c r="C6" s="49" t="s">
        <v>94</v>
      </c>
      <c r="D6" s="50">
        <v>12</v>
      </c>
      <c r="E6" s="50">
        <f>'07_Ma_tran_noi_bo'!L7</f>
        <v>12</v>
      </c>
      <c r="F6" s="50">
        <f>'07_Ma_tran_noi_bo'!M7</f>
        <v>0</v>
      </c>
      <c r="G6" s="54">
        <f t="shared" si="0"/>
        <v>1</v>
      </c>
      <c r="H6" s="50" t="str">
        <f>'07_Ma_tran_noi_bo'!N7</f>
        <v>HẾT</v>
      </c>
      <c r="I6" s="49" t="s">
        <v>445</v>
      </c>
      <c r="J6" s="49" t="s">
        <v>446</v>
      </c>
    </row>
    <row r="7" spans="1:10" ht="15">
      <c r="A7" s="49" t="s">
        <v>100</v>
      </c>
      <c r="B7" s="49" t="s">
        <v>38</v>
      </c>
      <c r="C7" s="49" t="s">
        <v>101</v>
      </c>
      <c r="D7" s="50">
        <v>10</v>
      </c>
      <c r="E7" s="50">
        <f>'07_Ma_tran_noi_bo'!L8</f>
        <v>9</v>
      </c>
      <c r="F7" s="50">
        <f>'07_Ma_tran_noi_bo'!M8</f>
        <v>1</v>
      </c>
      <c r="G7" s="54">
        <f t="shared" si="0"/>
        <v>0.9</v>
      </c>
      <c r="H7" s="50" t="str">
        <f>'07_Ma_tran_noi_bo'!N8</f>
        <v>OK</v>
      </c>
      <c r="I7" s="49" t="s">
        <v>447</v>
      </c>
      <c r="J7" s="49" t="s">
        <v>448</v>
      </c>
    </row>
    <row r="8" spans="1:10" ht="15">
      <c r="A8" s="49" t="s">
        <v>107</v>
      </c>
      <c r="B8" s="49" t="s">
        <v>41</v>
      </c>
      <c r="C8" s="49" t="s">
        <v>108</v>
      </c>
      <c r="D8" s="50">
        <v>10</v>
      </c>
      <c r="E8" s="50">
        <f>'07_Ma_tran_noi_bo'!L9</f>
        <v>9</v>
      </c>
      <c r="F8" s="50">
        <f>'07_Ma_tran_noi_bo'!M9</f>
        <v>1</v>
      </c>
      <c r="G8" s="54">
        <f t="shared" si="0"/>
        <v>0.9</v>
      </c>
      <c r="H8" s="50" t="str">
        <f>'07_Ma_tran_noi_bo'!N9</f>
        <v>OK</v>
      </c>
      <c r="I8" s="49" t="s">
        <v>447</v>
      </c>
      <c r="J8" s="49" t="s">
        <v>448</v>
      </c>
    </row>
    <row r="9" spans="1:10" ht="30">
      <c r="A9" s="49" t="s">
        <v>115</v>
      </c>
      <c r="B9" s="49" t="s">
        <v>41</v>
      </c>
      <c r="C9" s="49" t="s">
        <v>116</v>
      </c>
      <c r="D9" s="50">
        <v>4</v>
      </c>
      <c r="E9" s="50">
        <f>'07_Ma_tran_noi_bo'!L10</f>
        <v>4</v>
      </c>
      <c r="F9" s="50">
        <f>'07_Ma_tran_noi_bo'!M10</f>
        <v>0</v>
      </c>
      <c r="G9" s="54">
        <f t="shared" si="0"/>
        <v>1</v>
      </c>
      <c r="H9" s="50" t="str">
        <f>'07_Ma_tran_noi_bo'!N10</f>
        <v>HẾT</v>
      </c>
      <c r="I9" s="49" t="s">
        <v>449</v>
      </c>
      <c r="J9" s="49" t="s">
        <v>450</v>
      </c>
    </row>
    <row r="10" spans="1:10" ht="15">
      <c r="A10" s="49" t="s">
        <v>125</v>
      </c>
      <c r="B10" s="49" t="s">
        <v>44</v>
      </c>
      <c r="C10" s="49" t="s">
        <v>126</v>
      </c>
      <c r="D10" s="50">
        <v>8</v>
      </c>
      <c r="E10" s="50">
        <f>'07_Ma_tran_noi_bo'!L11</f>
        <v>7</v>
      </c>
      <c r="F10" s="50">
        <f>'07_Ma_tran_noi_bo'!M11</f>
        <v>1</v>
      </c>
      <c r="G10" s="54">
        <f t="shared" si="0"/>
        <v>0.875</v>
      </c>
      <c r="H10" s="50" t="str">
        <f>'07_Ma_tran_noi_bo'!N11</f>
        <v>OK</v>
      </c>
      <c r="I10" s="49" t="s">
        <v>447</v>
      </c>
      <c r="J10" s="49" t="s">
        <v>448</v>
      </c>
    </row>
    <row r="11" spans="1:10" ht="30">
      <c r="A11" s="49" t="s">
        <v>134</v>
      </c>
      <c r="B11" s="49" t="s">
        <v>44</v>
      </c>
      <c r="C11" s="49" t="s">
        <v>135</v>
      </c>
      <c r="D11" s="50">
        <v>2</v>
      </c>
      <c r="E11" s="50">
        <f>'07_Ma_tran_noi_bo'!L12</f>
        <v>0</v>
      </c>
      <c r="F11" s="50">
        <f>'07_Ma_tran_noi_bo'!M12</f>
        <v>2</v>
      </c>
      <c r="G11" s="54">
        <f t="shared" si="0"/>
        <v>0</v>
      </c>
      <c r="H11" s="50" t="str">
        <f>'07_Ma_tran_noi_bo'!N12</f>
        <v>OK</v>
      </c>
      <c r="I11" s="49" t="s">
        <v>451</v>
      </c>
      <c r="J11" s="49" t="s">
        <v>452</v>
      </c>
    </row>
    <row r="12" spans="1:10" ht="30">
      <c r="A12" s="49" t="s">
        <v>145</v>
      </c>
      <c r="B12" s="49" t="s">
        <v>44</v>
      </c>
      <c r="C12" s="49" t="s">
        <v>146</v>
      </c>
      <c r="D12" s="50">
        <v>4</v>
      </c>
      <c r="E12" s="50">
        <f>'07_Ma_tran_noi_bo'!L13</f>
        <v>0</v>
      </c>
      <c r="F12" s="50">
        <f>'07_Ma_tran_noi_bo'!M13</f>
        <v>4</v>
      </c>
      <c r="G12" s="54">
        <f t="shared" si="0"/>
        <v>0</v>
      </c>
      <c r="H12" s="50" t="str">
        <f>'07_Ma_tran_noi_bo'!N13</f>
        <v>OK</v>
      </c>
      <c r="I12" s="49" t="s">
        <v>451</v>
      </c>
      <c r="J12" s="49" t="s">
        <v>452</v>
      </c>
    </row>
    <row r="13" spans="1:10" ht="15">
      <c r="A13" s="49" t="s">
        <v>153</v>
      </c>
      <c r="B13" s="49" t="s">
        <v>47</v>
      </c>
      <c r="C13" s="49" t="s">
        <v>154</v>
      </c>
      <c r="D13" s="50">
        <v>32</v>
      </c>
      <c r="E13" s="50">
        <f>'07_Ma_tran_noi_bo'!L14</f>
        <v>31</v>
      </c>
      <c r="F13" s="50">
        <f>'07_Ma_tran_noi_bo'!M14</f>
        <v>1</v>
      </c>
      <c r="G13" s="54">
        <f t="shared" si="0"/>
        <v>0.96875</v>
      </c>
      <c r="H13" s="50" t="str">
        <f>'07_Ma_tran_noi_bo'!N14</f>
        <v>OK</v>
      </c>
      <c r="I13" s="49" t="s">
        <v>447</v>
      </c>
      <c r="J13" s="49" t="s">
        <v>448</v>
      </c>
    </row>
    <row r="14" spans="1:10" ht="15">
      <c r="A14" s="49" t="s">
        <v>162</v>
      </c>
      <c r="B14" s="49" t="s">
        <v>47</v>
      </c>
      <c r="C14" s="49" t="s">
        <v>163</v>
      </c>
      <c r="D14" s="50">
        <v>60</v>
      </c>
      <c r="E14" s="50">
        <f>'07_Ma_tran_noi_bo'!L15</f>
        <v>46</v>
      </c>
      <c r="F14" s="50">
        <f>'07_Ma_tran_noi_bo'!M15</f>
        <v>14</v>
      </c>
      <c r="G14" s="54">
        <f t="shared" si="0"/>
        <v>0.76666666666666672</v>
      </c>
      <c r="H14" s="50" t="str">
        <f>'07_Ma_tran_noi_bo'!N15</f>
        <v>OK</v>
      </c>
      <c r="I14" s="49" t="s">
        <v>447</v>
      </c>
      <c r="J14" s="49" t="s">
        <v>448</v>
      </c>
    </row>
    <row r="15" spans="1:10" ht="30">
      <c r="A15" s="49" t="s">
        <v>171</v>
      </c>
      <c r="B15" s="49" t="s">
        <v>50</v>
      </c>
      <c r="C15" s="49" t="s">
        <v>172</v>
      </c>
      <c r="D15" s="50">
        <v>4</v>
      </c>
      <c r="E15" s="50">
        <f>'07_Ma_tran_noi_bo'!L16</f>
        <v>4</v>
      </c>
      <c r="F15" s="50">
        <f>'07_Ma_tran_noi_bo'!M16</f>
        <v>0</v>
      </c>
      <c r="G15" s="54">
        <f t="shared" si="0"/>
        <v>1</v>
      </c>
      <c r="H15" s="50" t="str">
        <f>'07_Ma_tran_noi_bo'!N16</f>
        <v>HẾT</v>
      </c>
      <c r="I15" s="49" t="s">
        <v>449</v>
      </c>
      <c r="J15" s="49" t="s">
        <v>450</v>
      </c>
    </row>
    <row r="16" spans="1:10" ht="30">
      <c r="A16" s="49" t="s">
        <v>179</v>
      </c>
      <c r="B16" s="49" t="s">
        <v>50</v>
      </c>
      <c r="C16" s="49" t="s">
        <v>180</v>
      </c>
      <c r="D16" s="50">
        <v>2</v>
      </c>
      <c r="E16" s="50">
        <f>'07_Ma_tran_noi_bo'!L17</f>
        <v>2</v>
      </c>
      <c r="F16" s="50">
        <f>'07_Ma_tran_noi_bo'!M17</f>
        <v>0</v>
      </c>
      <c r="G16" s="54">
        <f t="shared" si="0"/>
        <v>1</v>
      </c>
      <c r="H16" s="50" t="str">
        <f>'07_Ma_tran_noi_bo'!N17</f>
        <v>HẾT</v>
      </c>
      <c r="I16" s="49" t="s">
        <v>449</v>
      </c>
      <c r="J16" s="49" t="s">
        <v>450</v>
      </c>
    </row>
    <row r="17" spans="1:10" ht="30">
      <c r="A17" s="49" t="s">
        <v>187</v>
      </c>
      <c r="B17" s="49" t="s">
        <v>50</v>
      </c>
      <c r="C17" s="49" t="s">
        <v>188</v>
      </c>
      <c r="D17" s="50">
        <v>8</v>
      </c>
      <c r="E17" s="50">
        <f>'07_Ma_tran_noi_bo'!L18</f>
        <v>6</v>
      </c>
      <c r="F17" s="50">
        <f>'07_Ma_tran_noi_bo'!M18</f>
        <v>2</v>
      </c>
      <c r="G17" s="54">
        <f t="shared" si="0"/>
        <v>0.75</v>
      </c>
      <c r="H17" s="50" t="str">
        <f>'07_Ma_tran_noi_bo'!N18</f>
        <v>OK</v>
      </c>
      <c r="I17" s="49" t="s">
        <v>447</v>
      </c>
      <c r="J17" s="49" t="s">
        <v>448</v>
      </c>
    </row>
    <row r="18" spans="1:10" ht="30">
      <c r="A18" s="49" t="s">
        <v>196</v>
      </c>
      <c r="B18" s="49" t="s">
        <v>50</v>
      </c>
      <c r="C18" s="49" t="s">
        <v>197</v>
      </c>
      <c r="D18" s="50">
        <v>3</v>
      </c>
      <c r="E18" s="50">
        <f>'07_Ma_tran_noi_bo'!L19</f>
        <v>2</v>
      </c>
      <c r="F18" s="50">
        <f>'07_Ma_tran_noi_bo'!M19</f>
        <v>1</v>
      </c>
      <c r="G18" s="54">
        <f t="shared" si="0"/>
        <v>0.66666666666666663</v>
      </c>
      <c r="H18" s="50" t="str">
        <f>'07_Ma_tran_noi_bo'!N19</f>
        <v>OK</v>
      </c>
      <c r="I18" s="49" t="s">
        <v>447</v>
      </c>
      <c r="J18" s="49" t="s">
        <v>448</v>
      </c>
    </row>
    <row r="19" spans="1:10" ht="30">
      <c r="A19" s="49" t="s">
        <v>204</v>
      </c>
      <c r="B19" s="49" t="s">
        <v>53</v>
      </c>
      <c r="C19" s="49" t="s">
        <v>205</v>
      </c>
      <c r="D19" s="50">
        <v>12</v>
      </c>
      <c r="E19" s="50">
        <f>'07_Ma_tran_noi_bo'!L20</f>
        <v>12</v>
      </c>
      <c r="F19" s="50">
        <f>'07_Ma_tran_noi_bo'!M20</f>
        <v>0</v>
      </c>
      <c r="G19" s="54">
        <f t="shared" si="0"/>
        <v>1</v>
      </c>
      <c r="H19" s="50" t="str">
        <f>'07_Ma_tran_noi_bo'!N20</f>
        <v>HẾT</v>
      </c>
      <c r="I19" s="49" t="s">
        <v>445</v>
      </c>
      <c r="J19" s="49" t="s">
        <v>446</v>
      </c>
    </row>
    <row r="20" spans="1:10" ht="30">
      <c r="A20" s="49" t="s">
        <v>212</v>
      </c>
      <c r="B20" s="49" t="s">
        <v>53</v>
      </c>
      <c r="C20" s="49" t="s">
        <v>213</v>
      </c>
      <c r="D20" s="50">
        <v>12</v>
      </c>
      <c r="E20" s="50">
        <f>'07_Ma_tran_noi_bo'!L21</f>
        <v>12</v>
      </c>
      <c r="F20" s="50">
        <f>'07_Ma_tran_noi_bo'!M21</f>
        <v>0</v>
      </c>
      <c r="G20" s="54">
        <f t="shared" si="0"/>
        <v>1</v>
      </c>
      <c r="H20" s="50" t="str">
        <f>'07_Ma_tran_noi_bo'!N21</f>
        <v>HẾT</v>
      </c>
      <c r="I20" s="49" t="s">
        <v>445</v>
      </c>
      <c r="J20" s="49" t="s">
        <v>446</v>
      </c>
    </row>
    <row r="21" spans="1:10" ht="16">
      <c r="A21" s="49" t="s">
        <v>220</v>
      </c>
      <c r="B21" s="49" t="s">
        <v>53</v>
      </c>
      <c r="C21" s="49" t="s">
        <v>221</v>
      </c>
      <c r="D21" s="50">
        <v>6</v>
      </c>
      <c r="E21" s="50">
        <f>'07_Ma_tran_noi_bo'!L22</f>
        <v>6</v>
      </c>
      <c r="F21" s="50">
        <f>'07_Ma_tran_noi_bo'!M22</f>
        <v>0</v>
      </c>
      <c r="G21" s="54">
        <f t="shared" si="0"/>
        <v>1</v>
      </c>
      <c r="H21" s="50" t="str">
        <f>'07_Ma_tran_noi_bo'!N22</f>
        <v>HẾT</v>
      </c>
      <c r="I21" s="49" t="s">
        <v>447</v>
      </c>
      <c r="J21" s="49" t="s">
        <v>448</v>
      </c>
    </row>
    <row r="22" spans="1:10" ht="30">
      <c r="A22" s="49" t="s">
        <v>229</v>
      </c>
      <c r="B22" s="49" t="s">
        <v>53</v>
      </c>
      <c r="C22" s="49" t="s">
        <v>230</v>
      </c>
      <c r="D22" s="50">
        <v>1</v>
      </c>
      <c r="E22" s="50">
        <f>'07_Ma_tran_noi_bo'!L23</f>
        <v>1</v>
      </c>
      <c r="F22" s="50">
        <f>'07_Ma_tran_noi_bo'!M23</f>
        <v>0</v>
      </c>
      <c r="G22" s="54">
        <f t="shared" si="0"/>
        <v>1</v>
      </c>
      <c r="H22" s="50" t="str">
        <f>'07_Ma_tran_noi_bo'!N23</f>
        <v>HẾT</v>
      </c>
      <c r="I22" s="49" t="s">
        <v>449</v>
      </c>
      <c r="J22" s="49" t="s">
        <v>450</v>
      </c>
    </row>
    <row r="23" spans="1:10" ht="30">
      <c r="A23" s="49" t="s">
        <v>237</v>
      </c>
      <c r="B23" s="49" t="s">
        <v>53</v>
      </c>
      <c r="C23" s="49" t="s">
        <v>238</v>
      </c>
      <c r="D23" s="50">
        <v>4</v>
      </c>
      <c r="E23" s="50">
        <f>'07_Ma_tran_noi_bo'!L24</f>
        <v>4</v>
      </c>
      <c r="F23" s="50">
        <f>'07_Ma_tran_noi_bo'!M24</f>
        <v>0</v>
      </c>
      <c r="G23" s="54">
        <f t="shared" si="0"/>
        <v>1</v>
      </c>
      <c r="H23" s="50" t="str">
        <f>'07_Ma_tran_noi_bo'!N24</f>
        <v>HẾT</v>
      </c>
      <c r="I23" s="49" t="s">
        <v>449</v>
      </c>
      <c r="J23" s="49" t="s">
        <v>450</v>
      </c>
    </row>
    <row r="24" spans="1:10" ht="30">
      <c r="A24" s="49" t="s">
        <v>245</v>
      </c>
      <c r="B24" s="49" t="s">
        <v>56</v>
      </c>
      <c r="C24" s="49" t="s">
        <v>246</v>
      </c>
      <c r="D24" s="50">
        <v>10</v>
      </c>
      <c r="E24" s="50">
        <f>'07_Ma_tran_noi_bo'!L25</f>
        <v>28</v>
      </c>
      <c r="F24" s="50">
        <f>'07_Ma_tran_noi_bo'!M25</f>
        <v>0</v>
      </c>
      <c r="G24" s="54">
        <f t="shared" si="0"/>
        <v>2.8</v>
      </c>
      <c r="H24" s="50" t="str">
        <f>'07_Ma_tran_noi_bo'!N25</f>
        <v>HẾT</v>
      </c>
      <c r="I24" s="49" t="s">
        <v>447</v>
      </c>
      <c r="J24" s="49" t="s">
        <v>448</v>
      </c>
    </row>
    <row r="25" spans="1:10" ht="30">
      <c r="A25" s="49" t="s">
        <v>254</v>
      </c>
      <c r="B25" s="49" t="s">
        <v>56</v>
      </c>
      <c r="C25" s="49" t="s">
        <v>255</v>
      </c>
      <c r="D25" s="50">
        <v>12</v>
      </c>
      <c r="E25" s="50">
        <f>'07_Ma_tran_noi_bo'!L26</f>
        <v>10</v>
      </c>
      <c r="F25" s="50">
        <f>'07_Ma_tran_noi_bo'!M26</f>
        <v>2</v>
      </c>
      <c r="G25" s="54">
        <f t="shared" si="0"/>
        <v>0.83333333333333337</v>
      </c>
      <c r="H25" s="50" t="str">
        <f>'07_Ma_tran_noi_bo'!N26</f>
        <v>OK</v>
      </c>
      <c r="I25" s="49" t="s">
        <v>447</v>
      </c>
      <c r="J25" s="49" t="s">
        <v>448</v>
      </c>
    </row>
    <row r="26" spans="1:10" ht="30">
      <c r="A26" s="49" t="s">
        <v>263</v>
      </c>
      <c r="B26" s="49" t="s">
        <v>56</v>
      </c>
      <c r="C26" s="49" t="s">
        <v>264</v>
      </c>
      <c r="D26" s="50">
        <v>12</v>
      </c>
      <c r="E26" s="50">
        <f>'07_Ma_tran_noi_bo'!L27</f>
        <v>12</v>
      </c>
      <c r="F26" s="50">
        <f>'07_Ma_tran_noi_bo'!M27</f>
        <v>0</v>
      </c>
      <c r="G26" s="54">
        <f t="shared" si="0"/>
        <v>1</v>
      </c>
      <c r="H26" s="50" t="str">
        <f>'07_Ma_tran_noi_bo'!N27</f>
        <v>HẾT</v>
      </c>
      <c r="I26" s="49" t="s">
        <v>445</v>
      </c>
      <c r="J26" s="49" t="s">
        <v>446</v>
      </c>
    </row>
    <row r="27" spans="1:10" ht="30">
      <c r="A27" s="49" t="s">
        <v>272</v>
      </c>
      <c r="B27" s="49" t="s">
        <v>56</v>
      </c>
      <c r="C27" s="49" t="s">
        <v>273</v>
      </c>
      <c r="D27" s="50">
        <v>8</v>
      </c>
      <c r="E27" s="50">
        <f>'07_Ma_tran_noi_bo'!L28</f>
        <v>6</v>
      </c>
      <c r="F27" s="50">
        <f>'07_Ma_tran_noi_bo'!M28</f>
        <v>2</v>
      </c>
      <c r="G27" s="54">
        <f t="shared" si="0"/>
        <v>0.75</v>
      </c>
      <c r="H27" s="50" t="str">
        <f>'07_Ma_tran_noi_bo'!N28</f>
        <v>OK</v>
      </c>
      <c r="I27" s="49" t="s">
        <v>447</v>
      </c>
      <c r="J27" s="49" t="s">
        <v>448</v>
      </c>
    </row>
    <row r="28" spans="1:10" ht="30">
      <c r="A28" s="49" t="s">
        <v>280</v>
      </c>
      <c r="B28" s="49" t="s">
        <v>56</v>
      </c>
      <c r="C28" s="49" t="s">
        <v>281</v>
      </c>
      <c r="D28" s="50">
        <v>4</v>
      </c>
      <c r="E28" s="50">
        <f>'07_Ma_tran_noi_bo'!L29</f>
        <v>4</v>
      </c>
      <c r="F28" s="50">
        <f>'07_Ma_tran_noi_bo'!M29</f>
        <v>0</v>
      </c>
      <c r="G28" s="54">
        <f t="shared" si="0"/>
        <v>1</v>
      </c>
      <c r="H28" s="50" t="str">
        <f>'07_Ma_tran_noi_bo'!N29</f>
        <v>HẾT</v>
      </c>
      <c r="I28" s="49" t="s">
        <v>449</v>
      </c>
      <c r="J28" s="49" t="s">
        <v>450</v>
      </c>
    </row>
    <row r="29" spans="1:10" ht="30">
      <c r="A29" s="49" t="s">
        <v>287</v>
      </c>
      <c r="B29" s="49" t="s">
        <v>56</v>
      </c>
      <c r="C29" s="49" t="s">
        <v>288</v>
      </c>
      <c r="D29" s="50">
        <v>8</v>
      </c>
      <c r="E29" s="50">
        <f>'07_Ma_tran_noi_bo'!L30</f>
        <v>6</v>
      </c>
      <c r="F29" s="50">
        <f>'07_Ma_tran_noi_bo'!M30</f>
        <v>2</v>
      </c>
      <c r="G29" s="54">
        <f t="shared" si="0"/>
        <v>0.75</v>
      </c>
      <c r="H29" s="50" t="str">
        <f>'07_Ma_tran_noi_bo'!N30</f>
        <v>OK</v>
      </c>
      <c r="I29" s="49" t="s">
        <v>447</v>
      </c>
      <c r="J29" s="49" t="s">
        <v>448</v>
      </c>
    </row>
    <row r="31" spans="1:10" ht="15">
      <c r="A31" s="55" t="s">
        <v>306</v>
      </c>
      <c r="B31" s="55" t="s">
        <v>307</v>
      </c>
      <c r="C31" s="55" t="s">
        <v>453</v>
      </c>
      <c r="D31" s="55" t="s">
        <v>454</v>
      </c>
    </row>
    <row r="32" spans="1:10" ht="45">
      <c r="A32" s="1" t="s">
        <v>455</v>
      </c>
      <c r="B32" s="1">
        <v>12</v>
      </c>
      <c r="C32" s="1" t="s">
        <v>456</v>
      </c>
      <c r="D32" s="1" t="s">
        <v>457</v>
      </c>
    </row>
    <row r="33" spans="1:4" ht="45">
      <c r="A33" s="1" t="s">
        <v>458</v>
      </c>
      <c r="B33" s="56">
        <v>2950000000</v>
      </c>
      <c r="C33" s="1" t="s">
        <v>459</v>
      </c>
      <c r="D33" s="1" t="s">
        <v>460</v>
      </c>
    </row>
    <row r="34" spans="1:4" ht="45">
      <c r="A34" s="1" t="s">
        <v>461</v>
      </c>
      <c r="B34" s="1">
        <f>COUNTIF(H5:H29,"VƯỢT CAP")</f>
        <v>0</v>
      </c>
      <c r="C34" s="1" t="s">
        <v>462</v>
      </c>
      <c r="D34" s="1" t="s">
        <v>463</v>
      </c>
    </row>
    <row r="35" spans="1:4" ht="60">
      <c r="A35" s="1" t="s">
        <v>464</v>
      </c>
      <c r="B35" s="1">
        <f>COUNTIF(H5:H29,"HẾT")</f>
        <v>13</v>
      </c>
      <c r="C35" s="1" t="s">
        <v>465</v>
      </c>
      <c r="D35" s="1" t="s">
        <v>466</v>
      </c>
    </row>
  </sheetData>
  <mergeCells count="2">
    <mergeCell ref="A1:J1"/>
    <mergeCell ref="A2:J2"/>
  </mergeCells>
  <conditionalFormatting sqref="H5:H29">
    <cfRule type="expression" dxfId="5" priority="1">
      <formula>H5="VƯỢT CAP"</formula>
    </cfRule>
    <cfRule type="expression" dxfId="4" priority="2">
      <formula>H5="HẾT"</formula>
    </cfRule>
    <cfRule type="expression" dxfId="3" priority="3">
      <formula>H5="OK"</formula>
    </cfRule>
  </conditionalFormatting>
  <conditionalFormatting sqref="G5:G29">
    <cfRule type="dataBar" priority="4">
      <dataBar>
        <cfvo type="min"/>
        <cfvo type="max"/>
        <color rgb="FFA02B93"/>
      </dataBar>
    </cfRule>
  </conditionalFormatting>
  <conditionalFormatting sqref="G5:G29">
    <cfRule type="dataBar" priority="5">
      <dataBar>
        <cfvo type="min"/>
        <cfvo type="max"/>
        <color rgb="FFA02B93"/>
      </dataBar>
      <extLst>
        <ext xmlns:x14="http://schemas.microsoft.com/office/spreadsheetml/2009/9/main" uri="{B025F937-C7B1-47D3-B67F-A62EFF666E3E}">
          <x14:id>{E80CBFCE-A515-272D-3DB4-471BF5547F3A}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80CBFCE-A515-272D-3DB4-471BF5547F3A}">
            <x14:dataBar>
              <x14:cfvo type="min"/>
              <x14:cfvo type="max"/>
              <x14:negativeFillColor auto="1"/>
              <x14:axisColor auto="1"/>
            </x14:dataBar>
          </x14:cfRule>
          <xm:sqref>G5:G29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0"/>
  <sheetViews>
    <sheetView workbookViewId="0"/>
  </sheetViews>
  <sheetFormatPr baseColWidth="10" defaultColWidth="8.83203125" defaultRowHeight="14"/>
  <cols>
    <col min="1" max="1" width="18" customWidth="1"/>
    <col min="2" max="2" width="24" customWidth="1"/>
    <col min="3" max="3" width="28" customWidth="1"/>
    <col min="4" max="4" width="40" customWidth="1"/>
    <col min="5" max="5" width="30" customWidth="1"/>
    <col min="6" max="6" width="38" customWidth="1"/>
    <col min="7" max="7" width="18" customWidth="1"/>
    <col min="8" max="8" width="14" customWidth="1"/>
    <col min="9" max="9" width="20" customWidth="1"/>
    <col min="10" max="10" width="14" customWidth="1"/>
    <col min="11" max="11" width="38" customWidth="1"/>
  </cols>
  <sheetData>
    <row r="1" spans="1:11" ht="19">
      <c r="A1" s="83" t="s">
        <v>467</v>
      </c>
      <c r="B1" s="83"/>
      <c r="C1" s="83"/>
      <c r="D1" s="83"/>
      <c r="E1" s="83"/>
      <c r="F1" s="83"/>
      <c r="G1" s="83"/>
      <c r="H1" s="83"/>
      <c r="I1" s="83"/>
      <c r="J1" s="83"/>
      <c r="K1" s="83"/>
    </row>
    <row r="2" spans="1:11" ht="15">
      <c r="A2" s="85" t="s">
        <v>468</v>
      </c>
      <c r="B2" s="85"/>
      <c r="C2" s="85"/>
      <c r="D2" s="85"/>
      <c r="E2" s="85"/>
      <c r="F2" s="85"/>
      <c r="G2" s="85"/>
      <c r="H2" s="85"/>
      <c r="I2" s="85"/>
      <c r="J2" s="85"/>
      <c r="K2" s="85"/>
    </row>
    <row r="4" spans="1:11" ht="32">
      <c r="A4" s="43" t="s">
        <v>469</v>
      </c>
      <c r="B4" s="43" t="s">
        <v>470</v>
      </c>
      <c r="C4" s="43" t="s">
        <v>471</v>
      </c>
      <c r="D4" s="43" t="s">
        <v>438</v>
      </c>
      <c r="E4" s="43" t="s">
        <v>472</v>
      </c>
      <c r="F4" s="43" t="s">
        <v>473</v>
      </c>
      <c r="G4" s="43" t="s">
        <v>474</v>
      </c>
      <c r="H4" s="43" t="s">
        <v>475</v>
      </c>
      <c r="I4" s="43" t="s">
        <v>476</v>
      </c>
      <c r="J4" s="43" t="s">
        <v>70</v>
      </c>
      <c r="K4" s="43" t="s">
        <v>76</v>
      </c>
    </row>
    <row r="5" spans="1:11" ht="30">
      <c r="A5" s="49" t="s">
        <v>477</v>
      </c>
      <c r="B5" s="49" t="s">
        <v>370</v>
      </c>
      <c r="C5" s="57">
        <v>50000000</v>
      </c>
      <c r="D5" s="49">
        <v>3</v>
      </c>
      <c r="E5" s="57">
        <v>150000000</v>
      </c>
      <c r="F5" s="57">
        <f>SUMPRODUCT('07_Ma_tran_noi_bo'!F$6:F$30,'02_Asset_Master'!$T$5:$T$29)</f>
        <v>0</v>
      </c>
      <c r="G5" s="57">
        <f t="shared" ref="G5:G10" si="0">F5*D5</f>
        <v>0</v>
      </c>
      <c r="H5" s="58">
        <f t="shared" ref="H5:H11" si="1">IF(E5=0,0,G5/E5)</f>
        <v>0</v>
      </c>
      <c r="I5" s="57">
        <f t="shared" ref="I5:I10" si="2">E5-G5</f>
        <v>150000000</v>
      </c>
      <c r="J5" s="49" t="str">
        <f t="shared" ref="J5:J10" si="3">IF(H5&gt;0.25,"CẢNH BÁO",IF(H5&gt;0.2,"THEO DÕI","OK"))</f>
        <v>OK</v>
      </c>
      <c r="K5" s="49" t="s">
        <v>478</v>
      </c>
    </row>
    <row r="6" spans="1:11" ht="30">
      <c r="A6" s="49" t="s">
        <v>479</v>
      </c>
      <c r="B6" s="49" t="s">
        <v>371</v>
      </c>
      <c r="C6" s="57">
        <v>100000000</v>
      </c>
      <c r="D6" s="49">
        <v>3</v>
      </c>
      <c r="E6" s="57">
        <v>300000000</v>
      </c>
      <c r="F6" s="57">
        <f>SUMPRODUCT('07_Ma_tran_noi_bo'!G$6:G$30,'02_Asset_Master'!$T$5:$T$29)</f>
        <v>0</v>
      </c>
      <c r="G6" s="57">
        <f t="shared" si="0"/>
        <v>0</v>
      </c>
      <c r="H6" s="58">
        <f t="shared" si="1"/>
        <v>0</v>
      </c>
      <c r="I6" s="57">
        <f t="shared" si="2"/>
        <v>300000000</v>
      </c>
      <c r="J6" s="49" t="str">
        <f t="shared" si="3"/>
        <v>OK</v>
      </c>
      <c r="K6" s="49" t="s">
        <v>478</v>
      </c>
    </row>
    <row r="7" spans="1:11" ht="30">
      <c r="A7" s="49" t="s">
        <v>480</v>
      </c>
      <c r="B7" s="49" t="s">
        <v>372</v>
      </c>
      <c r="C7" s="57">
        <v>200000000</v>
      </c>
      <c r="D7" s="49">
        <v>2</v>
      </c>
      <c r="E7" s="57">
        <v>400000000</v>
      </c>
      <c r="F7" s="57">
        <f>SUMPRODUCT('07_Ma_tran_noi_bo'!H$6:H$30,'02_Asset_Master'!$T$5:$T$29)</f>
        <v>0</v>
      </c>
      <c r="G7" s="57">
        <f t="shared" si="0"/>
        <v>0</v>
      </c>
      <c r="H7" s="58">
        <f t="shared" si="1"/>
        <v>0</v>
      </c>
      <c r="I7" s="57">
        <f t="shared" si="2"/>
        <v>400000000</v>
      </c>
      <c r="J7" s="49" t="str">
        <f t="shared" si="3"/>
        <v>OK</v>
      </c>
      <c r="K7" s="49" t="s">
        <v>478</v>
      </c>
    </row>
    <row r="8" spans="1:11" ht="30">
      <c r="A8" s="49" t="s">
        <v>481</v>
      </c>
      <c r="B8" s="49" t="s">
        <v>373</v>
      </c>
      <c r="C8" s="57">
        <v>300000000</v>
      </c>
      <c r="D8" s="49">
        <v>2</v>
      </c>
      <c r="E8" s="57">
        <v>600000000</v>
      </c>
      <c r="F8" s="57">
        <f>SUMPRODUCT('07_Ma_tran_noi_bo'!I$6:I$30,'02_Asset_Master'!$T$5:$T$29)</f>
        <v>0</v>
      </c>
      <c r="G8" s="57">
        <f t="shared" si="0"/>
        <v>0</v>
      </c>
      <c r="H8" s="58">
        <f t="shared" si="1"/>
        <v>0</v>
      </c>
      <c r="I8" s="57">
        <f t="shared" si="2"/>
        <v>600000000</v>
      </c>
      <c r="J8" s="49" t="str">
        <f t="shared" si="3"/>
        <v>OK</v>
      </c>
      <c r="K8" s="49" t="s">
        <v>478</v>
      </c>
    </row>
    <row r="9" spans="1:11" ht="30">
      <c r="A9" s="49" t="s">
        <v>482</v>
      </c>
      <c r="B9" s="49" t="s">
        <v>374</v>
      </c>
      <c r="C9" s="57">
        <v>500000000</v>
      </c>
      <c r="D9" s="49">
        <v>1</v>
      </c>
      <c r="E9" s="57">
        <v>500000000</v>
      </c>
      <c r="F9" s="57">
        <f>SUMPRODUCT('07_Ma_tran_noi_bo'!J$6:J$30,'02_Asset_Master'!$T$5:$T$29)</f>
        <v>0</v>
      </c>
      <c r="G9" s="57">
        <f t="shared" si="0"/>
        <v>0</v>
      </c>
      <c r="H9" s="58">
        <f t="shared" si="1"/>
        <v>0</v>
      </c>
      <c r="I9" s="57">
        <f t="shared" si="2"/>
        <v>500000000</v>
      </c>
      <c r="J9" s="49" t="str">
        <f t="shared" si="3"/>
        <v>OK</v>
      </c>
      <c r="K9" s="49" t="s">
        <v>478</v>
      </c>
    </row>
    <row r="10" spans="1:11" ht="30">
      <c r="A10" s="49" t="s">
        <v>483</v>
      </c>
      <c r="B10" s="49" t="s">
        <v>375</v>
      </c>
      <c r="C10" s="57">
        <v>1000000000</v>
      </c>
      <c r="D10" s="49">
        <v>1</v>
      </c>
      <c r="E10" s="57">
        <v>1000000000</v>
      </c>
      <c r="F10" s="57">
        <f>SUMPRODUCT('07_Ma_tran_noi_bo'!K$6:K$30,'02_Asset_Master'!$T$5:$T$29)</f>
        <v>0</v>
      </c>
      <c r="G10" s="57">
        <f t="shared" si="0"/>
        <v>0</v>
      </c>
      <c r="H10" s="58">
        <f t="shared" si="1"/>
        <v>0</v>
      </c>
      <c r="I10" s="57">
        <f t="shared" si="2"/>
        <v>1000000000</v>
      </c>
      <c r="J10" s="49" t="str">
        <f t="shared" si="3"/>
        <v>OK</v>
      </c>
      <c r="K10" s="49" t="s">
        <v>478</v>
      </c>
    </row>
    <row r="11" spans="1:11" ht="16">
      <c r="A11" s="59"/>
      <c r="B11" s="59" t="s">
        <v>484</v>
      </c>
      <c r="C11" s="60">
        <f>SUM(C5:C10)</f>
        <v>2150000000</v>
      </c>
      <c r="D11" s="59">
        <f>SUM(D5:D10)</f>
        <v>12</v>
      </c>
      <c r="E11" s="60">
        <f>SUM(E5:E10)</f>
        <v>2950000000</v>
      </c>
      <c r="F11" s="60"/>
      <c r="G11" s="60">
        <f>SUM(G5:G10)</f>
        <v>0</v>
      </c>
      <c r="H11" s="61">
        <f t="shared" si="1"/>
        <v>0</v>
      </c>
      <c r="I11" s="60">
        <f>SUM(I5:I10)</f>
        <v>2950000000</v>
      </c>
      <c r="J11" s="59"/>
      <c r="K11" s="59"/>
    </row>
    <row r="14" spans="1:11" ht="16">
      <c r="A14" s="62" t="s">
        <v>485</v>
      </c>
      <c r="B14" s="62" t="s">
        <v>486</v>
      </c>
      <c r="C14" s="62" t="s">
        <v>487</v>
      </c>
      <c r="D14" s="62" t="s">
        <v>488</v>
      </c>
      <c r="E14" s="62" t="s">
        <v>489</v>
      </c>
      <c r="F14" s="62" t="s">
        <v>490</v>
      </c>
    </row>
    <row r="15" spans="1:11" ht="30">
      <c r="A15" s="2" t="s">
        <v>491</v>
      </c>
      <c r="B15" s="2" t="s">
        <v>492</v>
      </c>
      <c r="C15" s="2" t="s">
        <v>493</v>
      </c>
      <c r="D15" s="2" t="s">
        <v>494</v>
      </c>
      <c r="E15" s="2" t="s">
        <v>495</v>
      </c>
      <c r="F15" s="2" t="s">
        <v>496</v>
      </c>
    </row>
    <row r="16" spans="1:11" ht="30">
      <c r="A16" s="2" t="s">
        <v>497</v>
      </c>
      <c r="B16" s="2" t="s">
        <v>498</v>
      </c>
      <c r="C16" s="2" t="s">
        <v>499</v>
      </c>
      <c r="D16" s="2" t="s">
        <v>500</v>
      </c>
      <c r="E16" s="2" t="s">
        <v>501</v>
      </c>
      <c r="F16" s="2" t="s">
        <v>502</v>
      </c>
    </row>
    <row r="17" spans="1:6" ht="30">
      <c r="A17" s="2" t="s">
        <v>503</v>
      </c>
      <c r="B17" s="2" t="s">
        <v>504</v>
      </c>
      <c r="C17" s="2" t="s">
        <v>505</v>
      </c>
      <c r="D17" s="2" t="s">
        <v>506</v>
      </c>
      <c r="E17" s="2" t="s">
        <v>507</v>
      </c>
      <c r="F17" s="2" t="s">
        <v>508</v>
      </c>
    </row>
    <row r="18" spans="1:6" ht="30">
      <c r="A18" s="2" t="s">
        <v>509</v>
      </c>
      <c r="B18" s="2" t="s">
        <v>510</v>
      </c>
      <c r="C18" s="2" t="s">
        <v>511</v>
      </c>
      <c r="D18" s="2" t="s">
        <v>512</v>
      </c>
      <c r="E18" s="2" t="s">
        <v>513</v>
      </c>
      <c r="F18" s="2" t="s">
        <v>514</v>
      </c>
    </row>
    <row r="19" spans="1:6" ht="30">
      <c r="A19" s="2" t="s">
        <v>515</v>
      </c>
      <c r="B19" s="2" t="s">
        <v>516</v>
      </c>
      <c r="C19" s="2" t="s">
        <v>517</v>
      </c>
      <c r="D19" s="2" t="s">
        <v>518</v>
      </c>
      <c r="E19" s="2" t="s">
        <v>519</v>
      </c>
      <c r="F19" s="2" t="s">
        <v>520</v>
      </c>
    </row>
    <row r="20" spans="1:6" ht="30">
      <c r="A20" s="2" t="s">
        <v>521</v>
      </c>
      <c r="B20" s="2" t="s">
        <v>522</v>
      </c>
      <c r="C20" s="2" t="s">
        <v>523</v>
      </c>
      <c r="D20" s="2" t="s">
        <v>524</v>
      </c>
      <c r="E20" s="2" t="s">
        <v>525</v>
      </c>
      <c r="F20" s="2" t="s">
        <v>526</v>
      </c>
    </row>
  </sheetData>
  <mergeCells count="2">
    <mergeCell ref="A1:K1"/>
    <mergeCell ref="A2:K2"/>
  </mergeCells>
  <conditionalFormatting sqref="J5:J10">
    <cfRule type="expression" dxfId="2" priority="1">
      <formula>J5="CẢNH BÁO"</formula>
    </cfRule>
    <cfRule type="expression" dxfId="1" priority="2">
      <formula>J5="THEO DÕI"</formula>
    </cfRule>
    <cfRule type="expression" dxfId="0" priority="3">
      <formula>J5="OK"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00_Huong_dan</vt:lpstr>
      <vt:lpstr>01_Khong_gian</vt:lpstr>
      <vt:lpstr>02_Asset_Master</vt:lpstr>
      <vt:lpstr>03_Phan_bo</vt:lpstr>
      <vt:lpstr>04_Kiem_soat</vt:lpstr>
      <vt:lpstr>99_Danh_muc</vt:lpstr>
      <vt:lpstr>05_Checklist_Khoa_cap</vt:lpstr>
      <vt:lpstr>06_Bang_gui_NTT</vt:lpstr>
      <vt:lpstr>07_Ma_tran_noi_bo</vt:lpstr>
      <vt:lpstr>08_Kiem_tra_Cap</vt:lpstr>
      <vt:lpstr>09_Can_doi_Tai_chinh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2026-09-21T14:35:10Z</dcterms:created>
  <dcterms:modified xsi:type="dcterms:W3CDTF">2026-09-21T14:38:32Z</dcterms:modified>
</cp:coreProperties>
</file>