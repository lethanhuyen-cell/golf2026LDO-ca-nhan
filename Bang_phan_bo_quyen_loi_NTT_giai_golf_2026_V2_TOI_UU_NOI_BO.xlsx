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294d38e3f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1d39d67bac484ac1"/>
    <x:sheet xmlns:r="http://schemas.openxmlformats.org/officeDocument/2006/relationships" name="01_Khong_gian" sheetId="2" r:id="R2d3cdd41c47c4144"/>
    <x:sheet xmlns:r="http://schemas.openxmlformats.org/officeDocument/2006/relationships" name="02_Asset_Master" sheetId="3" r:id="R4c7c53297af048c7"/>
    <x:sheet xmlns:r="http://schemas.openxmlformats.org/officeDocument/2006/relationships" name="03_Ma_tran_goi" sheetId="4" r:id="Rb7bd1a65fa8449fa"/>
    <x:sheet xmlns:r="http://schemas.openxmlformats.org/officeDocument/2006/relationships" name="04_Kiem_tra_Cap" sheetId="5" r:id="R6c1160b9c7d447e8"/>
    <x:sheet xmlns:r="http://schemas.openxmlformats.org/officeDocument/2006/relationships" name="05_Phan_bo_thuc_te" sheetId="6" r:id="R9f532e67380f49bd"/>
    <x:sheet xmlns:r="http://schemas.openxmlformats.org/officeDocument/2006/relationships" name="06_Can_doi_Tai_chinh" sheetId="7" r:id="R9c47eced68794e84"/>
    <x:sheet xmlns:r="http://schemas.openxmlformats.org/officeDocument/2006/relationships" name="07_Checklist_Khoa" sheetId="8" r:id="R5efa1973a878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 &quot;đ&quot;"/>
    <x:numFmt numFmtId="202" formatCode="#,##0"/>
    <x:numFmt numFmtId="203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3752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i/>
      <x:sz val="11"/>
      <x:color rgb="FF2B2B2B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752"/>
      </x:patternFill>
    </x:fill>
    <x:fill>
      <x:patternFill patternType="solid">
        <x:fgColor rgb="FFEAF1F7"/>
      </x:patternFill>
    </x:fill>
    <x:fill>
      <x:patternFill patternType="solid">
        <x:fgColor rgb="FFFFF2CC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4" borderId="11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14" xfId="0" applyNumberFormat="1" applyFont="1" applyFill="1" applyBorder="1"/>
    <x:xf numFmtId="203" fontId="0" fillId="0" borderId="14" xfId="0" applyNumberFormat="1" applyFont="1" applyFill="1" applyBorder="1"/>
    <x:xf numFmtId="201" fontId="0" fillId="0" borderId="22" xfId="0" applyNumberFormat="1" applyFont="1" applyFill="1" applyBorder="1"/>
    <x:xf numFmtId="203" fontId="0" fillId="0" borderId="22" xfId="0" applyNumberFormat="1" applyFont="1" applyFill="1" applyBorder="1"/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dd3ea6f1f46e6" /><Relationship Type="http://schemas.openxmlformats.org/officeDocument/2006/relationships/theme" Target="/xl/theme/theme1.xml" Id="R91959c642235473f" /><Relationship Type="http://schemas.openxmlformats.org/officeDocument/2006/relationships/sharedStrings" Target="/xl/sharedStrings.xml" Id="R24942916d1a14d62" /><Relationship Type="http://schemas.openxmlformats.org/officeDocument/2006/relationships/worksheet" Target="/xl/worksheets/sheet1.xml" Id="R1d39d67bac484ac1" /><Relationship Type="http://schemas.openxmlformats.org/officeDocument/2006/relationships/worksheet" Target="/xl/worksheets/sheet2.xml" Id="R2d3cdd41c47c4144" /><Relationship Type="http://schemas.openxmlformats.org/officeDocument/2006/relationships/worksheet" Target="/xl/worksheets/sheet3.xml" Id="R4c7c53297af048c7" /><Relationship Type="http://schemas.openxmlformats.org/officeDocument/2006/relationships/worksheet" Target="/xl/worksheets/sheet4.xml" Id="Rb7bd1a65fa8449fa" /><Relationship Type="http://schemas.openxmlformats.org/officeDocument/2006/relationships/worksheet" Target="/xl/worksheets/sheet5.xml" Id="R6c1160b9c7d447e8" /><Relationship Type="http://schemas.openxmlformats.org/officeDocument/2006/relationships/worksheet" Target="/xl/worksheets/sheet6.xml" Id="R9f532e67380f49bd" /><Relationship Type="http://schemas.openxmlformats.org/officeDocument/2006/relationships/worksheet" Target="/xl/worksheets/sheet7.xml" Id="R9c47eced68794e84" /><Relationship Type="http://schemas.openxmlformats.org/officeDocument/2006/relationships/worksheet" Target="/xl/worksheets/sheet8.xml" Id="R5efa1973a878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GIẢI GOLF BÁO LAO ĐỘNG OPEN 2026 – FILE MASTER QUẢN TRỊ QUYỀN LỢI NTT</x:v>
      </x:c>
      <x:c r="B1" s="6"/>
      <x:c r="C1" s="6"/>
      <x:c r="D1" s="6"/>
      <x:c r="E1" s="6"/>
      <x:c r="F1" s="6"/>
    </x:row>
    <x:row r="2">
      <x:c r="A2" s="14" t="str">
        <x:v>Bản tối ưu 21.09.2026 | Dùng nội bộ để khóa kho quyền lợi, phân bổ tài trợ và kiểm soát nghiệm thu</x:v>
      </x:c>
      <x:c r="B2" s="14"/>
      <x:c r="C2" s="14"/>
      <x:c r="D2" s="14"/>
      <x:c r="E2" s="14"/>
      <x:c r="F2" s="14"/>
    </x:row>
    <x:row r="4">
      <x:c r="A4" s="46" t="str">
        <x:v>NGUYÊN TẮC</x:v>
      </x:c>
      <x:c r="B4" s="47" t="str">
        <x:v>NỘI DUNG</x:v>
      </x:c>
      <x:c r="C4" s="47" t="str"/>
      <x:c r="D4" s="47" t="str"/>
      <x:c r="E4" s="47" t="str"/>
      <x:c r="F4" s="48" t="str"/>
    </x:row>
    <x:row r="5" ht="32" customHeight="1">
      <x:c r="A5" s="49" t="str">
        <x:v>1</x:v>
      </x:c>
      <x:c r="B5" s="44" t="str">
        <x:v>Tất cả logo NTT trên banner/visual quảng bá giải dùng CHUNG một logobox; kích thước và thứ tự theo danh vị tài trợ.</x:v>
      </x:c>
      <x:c r="C5" s="44" t="str"/>
      <x:c r="D5" s="44" t="str"/>
      <x:c r="E5" s="44" t="str"/>
      <x:c r="F5" s="50" t="str"/>
    </x:row>
    <x:row r="6" ht="32" customHeight="1">
      <x:c r="A6" s="49" t="str">
        <x:v>2</x:v>
      </x:c>
      <x:c r="B6" s="44" t="str">
        <x:v>Logobox NTT được dùng thống nhất trên banner Top trang chủ/các banner quảng bá giải, backdrop/LED, Gala và end-card recap theo phạm vi từng asset.</x:v>
      </x:c>
      <x:c r="C6" s="44" t="str"/>
      <x:c r="D6" s="44" t="str"/>
      <x:c r="E6" s="44" t="str"/>
      <x:c r="F6" s="50" t="str"/>
    </x:row>
    <x:row r="7" ht="32" customHeight="1">
      <x:c r="A7" s="49" t="str">
        <x:v>3</x:v>
      </x:c>
      <x:c r="B7" s="44" t="str">
        <x:v>Logobox cuối tin/bài về giải trên Lao Động điện tử và Báo Lao Động in là quyền lợi nhận diện chung; không phải bài PR riêng của từng NTT.</x:v>
      </x:c>
      <x:c r="C7" s="44" t="str"/>
      <x:c r="D7" s="44" t="str"/>
      <x:c r="E7" s="44" t="str"/>
      <x:c r="F7" s="50" t="str"/>
    </x:row>
    <x:row r="8" ht="32" customHeight="1">
      <x:c r="A8" s="49" t="str">
        <x:v>4</x:v>
      </x:c>
      <x:c r="B8" s="44" t="str">
        <x:v>Banner quảng cáo RIÊNG quảng bá sản phẩm/dịch vụ của NTT chỉ áp dụng từ gói 300 triệu trở lên: 07/14/28 ngày tương ứng 300M/500M/1 tỷ.</x:v>
      </x:c>
      <x:c r="C8" s="44" t="str"/>
      <x:c r="D8" s="44" t="str"/>
      <x:c r="E8" s="44" t="str"/>
      <x:c r="F8" s="50" t="str"/>
    </x:row>
    <x:row r="9" ht="32" customHeight="1">
      <x:c r="A9" s="49" t="str">
        <x:v>5</x:v>
      </x:c>
      <x:c r="B9" s="44" t="str">
        <x:v>Bài PR/Advertorial là nội dung thương mại, tách khỏi hoạt động đưa tin biên tập về giải.</x:v>
      </x:c>
      <x:c r="C9" s="44" t="str"/>
      <x:c r="D9" s="44" t="str"/>
      <x:c r="E9" s="44" t="str"/>
      <x:c r="F9" s="50" t="str"/>
    </x:row>
    <x:row r="10" ht="32" customHeight="1">
      <x:c r="A10" s="49" t="str">
        <x:v>6</x:v>
      </x:c>
      <x:c r="B10" s="44" t="str">
        <x:v>Không tính trùng flight với suất golfer; không tính trùng bàn VIP với suất Gala.</x:v>
      </x:c>
      <x:c r="C10" s="44" t="str"/>
      <x:c r="D10" s="44" t="str"/>
      <x:c r="E10" s="44" t="str"/>
      <x:c r="F10" s="50" t="str"/>
    </x:row>
    <x:row r="11" ht="32" customHeight="1">
      <x:c r="A11" s="49" t="str">
        <x:v>7</x:v>
      </x:c>
      <x:c r="B11" s="44" t="str">
        <x:v>Chỉ ký quyền lợi Dedicated/Signature sau khi Cap FINAL và điều kiện vận hành được khóa.</x:v>
      </x:c>
      <x:c r="C11" s="44" t="str"/>
      <x:c r="D11" s="44" t="str"/>
      <x:c r="E11" s="44" t="str"/>
      <x:c r="F11" s="50" t="str"/>
    </x:row>
    <x:row r="12" ht="32" customHeight="1">
      <x:c r="A12" s="49" t="str">
        <x:v>8</x:v>
      </x:c>
      <x:c r="B12" s="44" t="str">
        <x:v>Khi một quyền lợi không triển khai được vì điều kiện khách quan, dùng quyền lợi thay thế đã định nghĩa và thống nhất với NTT.</x:v>
      </x:c>
      <x:c r="C12" s="44" t="str"/>
      <x:c r="D12" s="44" t="str"/>
      <x:c r="E12" s="44" t="str"/>
      <x:c r="F12" s="50" t="str"/>
    </x:row>
    <x:row r="13" ht="32" customHeight="1">
      <x:c r="A13" s="51" t="str">
        <x:v>9</x:v>
      </x:c>
      <x:c r="B13" s="52" t="str">
        <x:v>File đối ngoại phải tách khỏi file này; không gửi Asset Master, Cap, chi phí, Max NTT hay logic nội bộ cho đối tác.</x:v>
      </x:c>
      <x:c r="C13" s="52" t="str"/>
      <x:c r="D13" s="52" t="str"/>
      <x:c r="E13" s="52" t="str"/>
      <x:c r="F13" s="53" t="str"/>
    </x:row>
  </x:sheetData>
  <x:mergeCells>
    <x:mergeCell ref="A1:F1"/>
    <x:mergeCell ref="A2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0" hidden="0" customWidth="1"/>
    <x:col min="4" max="4" width="34" hidden="0" customWidth="1"/>
    <x:col min="5" max="5" width="42" hidden="0" customWidth="1"/>
    <x:col min="6" max="6" width="22" hidden="0" customWidth="1"/>
  </x:cols>
  <x:sheetData>
    <x:row r="1">
      <x:c r="A1" s="65" t="str">
        <x:v>07 KHÔNG GIAN QUYỀN LỢI – BẢN ĐỒ TÀI SẢN TÀI TRỢ</x:v>
      </x:c>
      <x:c r="B1" s="65"/>
      <x:c r="C1" s="65"/>
      <x:c r="D1" s="65"/>
      <x:c r="E1" s="65"/>
      <x:c r="F1" s="65"/>
    </x:row>
    <x:row r="3">
      <x:c r="A3" s="46" t="str">
        <x:v>Mã</x:v>
      </x:c>
      <x:c r="B3" s="47" t="str">
        <x:v>Không gian</x:v>
      </x:c>
      <x:c r="C3" s="47" t="str">
        <x:v>Vai trò</x:v>
      </x:c>
      <x:c r="D3" s="47" t="str">
        <x:v>Quyền lợi tiêu biểu</x:v>
      </x:c>
      <x:c r="E3" s="47" t="str">
        <x:v>Nguyên tắc triển khai</x:v>
      </x:c>
      <x:c r="F3" s="48" t="str">
        <x:v>Owner chính</x:v>
      </x:c>
    </x:row>
    <x:row r="4">
      <x:c r="A4" s="49" t="str">
        <x:v>KG01</x:v>
      </x:c>
      <x:c r="B4" s="44" t="str">
        <x:v>Nhận diện chung toàn giải</x:v>
      </x:c>
      <x:c r="C4" s="44" t="str">
        <x:v>Thiết lập vị thế NTT trong bộ nhận diện giải</x:v>
      </x:c>
      <x:c r="D4" s="44" t="str">
        <x:v>Logobox banner/visual; backdrop/LED; ấn phẩm sự kiện</x:v>
      </x:c>
      <x:c r="E4" s="44" t="str">
        <x:v>Dùng cùng hệ thống logobox, phân cấp kích thước/thứ tự theo danh vị</x:v>
      </x:c>
      <x:c r="F4" s="50" t="str">
        <x:v>Thiết kế/Media/Event</x:v>
      </x:c>
    </x:row>
    <x:row r="5">
      <x:c r="A5" s="49" t="str">
        <x:v>KG02</x:v>
      </x:c>
      <x:c r="B5" s="44" t="str">
        <x:v>Check-in và đón khách</x:v>
      </x:c>
      <x:c r="C5" s="44" t="str">
        <x:v>Điểm chạm đầu tiên với golfer/khách mời</x:v>
      </x:c>
      <x:c r="D5" s="44" t="str">
        <x:v>Photo wall; standee/biển thương hiệu</x:v>
      </x:c>
      <x:c r="E5" s="44" t="str">
        <x:v>Theo layout thực tế, tránh quá nhiều vật phẩm riêng</x:v>
      </x:c>
      <x:c r="F5" s="50" t="str">
        <x:v>Event/Thiết kế</x:v>
      </x:c>
    </x:row>
    <x:row r="6">
      <x:c r="A6" s="49" t="str">
        <x:v>KG03</x:v>
      </x:c>
      <x:c r="B6" s="44" t="str">
        <x:v>Sân golf và thi đấu</x:v>
      </x:c>
      <x:c r="C6" s="44" t="str">
        <x:v>Điểm chạm đặc trưng của giải golf</x:v>
      </x:c>
      <x:c r="D6" s="44" t="str">
        <x:v>Branding hố; HIO; giải kỹ thuật</x:v>
      </x:c>
      <x:c r="E6" s="44" t="str">
        <x:v>Tách hố thường và hố chuyên biệt; không bán vượt điều lệ/layout sân</x:v>
      </x:c>
      <x:c r="F6" s="50" t="str">
        <x:v>Event/Sân</x:v>
      </x:c>
    </x:row>
    <x:row r="7">
      <x:c r="A7" s="49" t="str">
        <x:v>KG04</x:v>
      </x:c>
      <x:c r="B7" s="44" t="str">
        <x:v>Golfer và Networking</x:v>
      </x:c>
      <x:c r="C7" s="44" t="str">
        <x:v>Hospitality và kết nối</x:v>
      </x:c>
      <x:c r="D7" s="44" t="str">
        <x:v>Suất golfer; Gala/VIP</x:v>
      </x:c>
      <x:c r="E7" s="44" t="str">
        <x:v>Quản lý bằng suất; flight/bàn VIP chỉ là cách bố trí</x:v>
      </x:c>
      <x:c r="F7" s="50" t="str">
        <x:v>Golfer/Guest</x:v>
      </x:c>
    </x:row>
    <x:row r="8">
      <x:c r="A8" s="49" t="str">
        <x:v>KG05</x:v>
      </x:c>
      <x:c r="B8" s="44" t="str">
        <x:v>Activation và trưng bày thương hiệu</x:v>
      </x:c>
      <x:c r="C8" s="44" t="str">
        <x:v>Tương tác trực tiếp với sản phẩm/dịch vụ</x:v>
      </x:c>
      <x:c r="D8" s="44" t="str">
        <x:v>Booth; trưng bày; gift bag; sampling</x:v>
      </x:c>
      <x:c r="E8" s="44" t="str">
        <x:v>Chỉ thực hiện khi mặt bằng và điều kiện kỹ thuật được duyệt</x:v>
      </x:c>
      <x:c r="F8" s="50" t="str">
        <x:v>Event</x:v>
      </x:c>
    </x:row>
    <x:row r="9">
      <x:c r="A9" s="49" t="str">
        <x:v>KG06</x:v>
      </x:c>
      <x:c r="B9" s="44" t="str">
        <x:v>Gala Dinner và Lễ trao giải</x:v>
      </x:c>
      <x:c r="C9" s="44" t="str">
        <x:v>Nghi thức, vinh danh và hospitality sau vòng đấu</x:v>
      </x:c>
      <x:c r="D9" s="44" t="str">
        <x:v>LED/backdrop; MC; trao giải; phát biểu; TVC</x:v>
      </x:c>
      <x:c r="E9" s="44" t="str">
        <x:v>Run-of-show là giới hạn cứng; không bán quá nhiều slot sân khấu</x:v>
      </x:c>
      <x:c r="F9" s="50" t="str">
        <x:v>Stage/Gala</x:v>
      </x:c>
    </x:row>
    <x:row r="10">
      <x:c r="A10" s="51" t="str">
        <x:v>KG07</x:v>
      </x:c>
      <x:c r="B10" s="52" t="str">
        <x:v>Truyền thông trên hệ sinh thái Báo Lao Động</x:v>
      </x:c>
      <x:c r="C10" s="52" t="str">
        <x:v>Kéo dài hiện diện trước-trong-sau giải</x:v>
      </x:c>
      <x:c r="D10" s="52" t="str">
        <x:v>Logobox cuối bài; PR; banner riêng; social; recap</x:v>
      </x:c>
      <x:c r="E10" s="52" t="str">
        <x:v>Tách quyền lợi nhận diện chung khỏi quảng cáo riêng và nội dung thương mại</x:v>
      </x:c>
      <x:c r="F10" s="53" t="str">
        <x:v>Media/AdOps/Social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5" hidden="0" customWidth="1"/>
    <x:col min="4" max="4" width="33" hidden="0" customWidth="1"/>
    <x:col min="5" max="5" width="48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4" hidden="0" customWidth="1"/>
    <x:col min="12" max="12" width="11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26" hidden="0" customWidth="1"/>
    <x:col min="18" max="18" width="48" hidden="0" customWidth="1"/>
    <x:col min="19" max="19" width="18" hidden="0" customWidth="1"/>
    <x:col min="20" max="20" width="42" hidden="0" customWidth="1"/>
  </x:cols>
  <x:sheetData>
    <x:row r="1">
      <x:c r="A1" s="65" t="str">
        <x:v>ASSET MASTER – KHO QUYỀN LỢI &amp; CAPACITY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</x:row>
    <x:row r="2">
      <x:c r="A2" s="71" t="str">
        <x:v>Ô màu vàng là đầu vào cần khóa. Cap áp dụng tự lấy Cap FINAL nếu có, nếu chưa có sẽ dùng Cap đề xuất làm giả định làm việc.</x:v>
      </x:c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</x:row>
    <x:row r="4">
      <x:c r="A4" s="46" t="str">
        <x:v>Mã asset</x:v>
      </x:c>
      <x:c r="B4" s="47" t="str">
        <x:v>Mã KG</x:v>
      </x:c>
      <x:c r="C4" s="47" t="str">
        <x:v>Không gian</x:v>
      </x:c>
      <x:c r="D4" s="47" t="str">
        <x:v>Quyền lợi</x:v>
      </x:c>
      <x:c r="E4" s="47" t="str">
        <x:v>Đầu ra cụ thể</x:v>
      </x:c>
      <x:c r="F4" s="47" t="str">
        <x:v>Đơn vị</x:v>
      </x:c>
      <x:c r="G4" s="47" t="str">
        <x:v>Cap đề xuất</x:v>
      </x:c>
      <x:c r="H4" s="47" t="str">
        <x:v>Cap FINAL</x:v>
      </x:c>
      <x:c r="I4" s="47" t="str">
        <x:v>Cap áp dụng</x:v>
      </x:c>
      <x:c r="J4" s="47" t="str">
        <x:v>BTC giữ</x:v>
      </x:c>
      <x:c r="K4" s="47" t="str">
        <x:v>Đã phân bổ thực tế</x:v>
      </x:c>
      <x:c r="L4" s="47" t="str">
        <x:v>Còn lại</x:v>
      </x:c>
      <x:c r="M4" s="47" t="str">
        <x:v>Trạng thái</x:v>
      </x:c>
      <x:c r="N4" s="47" t="str">
        <x:v>Level</x:v>
      </x:c>
      <x:c r="O4" s="47" t="str">
        <x:v>Tính chất</x:v>
      </x:c>
      <x:c r="P4" s="47" t="str">
        <x:v>Owner</x:v>
      </x:c>
      <x:c r="Q4" s="47" t="str">
        <x:v>Bằng chứng nghiệm thu</x:v>
      </x:c>
      <x:c r="R4" s="47" t="str">
        <x:v>Điều kiện/ghi chú</x:v>
      </x:c>
      <x:c r="S4" s="47" t="str">
        <x:v>CP thực hiện/đơn vị</x:v>
      </x:c>
      <x:c r="T4" s="48" t="str">
        <x:v>Quyền lợi thay thế</x:v>
      </x:c>
    </x:row>
    <x:row r="5">
      <x:c r="A5" s="49" t="str">
        <x:v>A01</x:v>
      </x:c>
      <x:c r="B5" s="44" t="str">
        <x:v>KG01</x:v>
      </x:c>
      <x:c r="C5" s="44" t="str">
        <x:v>Nhận diện chung toàn giải</x:v>
      </x:c>
      <x:c r="D5" s="44" t="str">
        <x:v>Logobox NTT trên banner/visual quảng bá giải</x:v>
      </x:c>
      <x:c r="E5" s="44" t="str">
        <x:v>Logo NTT trong cùng logobox trên banner Top trang chủ và các banner/visual chính thức quảng bá giải trên Laodong.vn và các nền tảng truyền thông của giải; kích thước/thứ tự theo danh vị tài trợ.</x:v>
      </x:c>
      <x:c r="F5" s="44" t="str">
        <x:v>NTT</x:v>
      </x:c>
      <x:c r="G5" s="44" t="n">
        <x:v>12</x:v>
      </x:c>
      <x:c r="H5" s="74"/>
      <x:c r="I5" s="44" t="n">
        <x:f>IF(H5&gt;0,H5,G5)</x:f>
        <x:v>12</x:v>
      </x:c>
      <x:c r="J5" s="74" t="n">
        <x:v>0</x:v>
      </x:c>
      <x:c r="K5" s="44" t="n">
        <x:f>SUMIF('05_Phan_bo_thuc_te'!$C$5:$C$204,A5,'05_Phan_bo_thuc_te'!$D$5:$D$204)</x:f>
        <x:v>0</x:v>
      </x:c>
      <x:c r="L5" s="44" t="n">
        <x:f>I5-J5-K5</x:f>
        <x:v>12</x:v>
      </x:c>
      <x:c r="M5" s="44" t="str">
        <x:f>IF(L5&lt;0,"VƯỢT CAP",IF(L5=0,"HẾT","CÒN"))</x:f>
        <x:v>CÒN</x:v>
      </x:c>
      <x:c r="N5" s="44" t="str">
        <x:v>Shared</x:v>
      </x:c>
      <x:c r="O5" s="44" t="str">
        <x:v>Lõi</x:v>
      </x:c>
      <x:c r="P5" s="44" t="str">
        <x:v>Thiết kế/Media</x:v>
      </x:c>
      <x:c r="Q5" s="44" t="str">
        <x:v>File thiết kế + ảnh chụp/banner live</x:v>
      </x:c>
      <x:c r="R5" s="44" t="str">
        <x:v>Dùng chung một hệ thống logobox; không tách banner quảng bá giải riêng cho từng NTT.</x:v>
      </x:c>
      <x:c r="S5" s="74"/>
      <x:c r="T5" s="50" t="str">
        <x:v>Slide/visual quảng bá khác trong cùng chiến dịch</x:v>
      </x:c>
    </x:row>
    <x:row r="6">
      <x:c r="A6" s="49" t="str">
        <x:v>A02</x:v>
      </x:c>
      <x:c r="B6" s="44" t="str">
        <x:v>KG01</x:v>
      </x:c>
      <x:c r="C6" s="44" t="str">
        <x:v>Nhận diện chung toàn giải</x:v>
      </x:c>
      <x:c r="D6" s="44" t="str">
        <x:v>Logo trên backdrop/LED nhận diện chung</x:v>
      </x:c>
      <x:c r="E6" s="44" t="str">
        <x:v>Logo trong cụm nhận diện NTT trên backdrop/LED chính của giải; kích thước/thứ tự theo danh vị.</x:v>
      </x:c>
      <x:c r="F6" s="44" t="str">
        <x:v>NTT</x:v>
      </x:c>
      <x:c r="G6" s="44" t="n">
        <x:v>12</x:v>
      </x:c>
      <x:c r="H6" s="74"/>
      <x:c r="I6" s="44" t="n">
        <x:f>IF(H6&gt;0,H6,G6)</x:f>
        <x:v>12</x:v>
      </x:c>
      <x:c r="J6" s="74" t="n">
        <x:v>0</x:v>
      </x:c>
      <x:c r="K6" s="44" t="n">
        <x:f>SUMIF('05_Phan_bo_thuc_te'!$C$5:$C$204,A6,'05_Phan_bo_thuc_te'!$D$5:$D$204)</x:f>
        <x:v>0</x:v>
      </x:c>
      <x:c r="L6" s="44" t="n">
        <x:f>I6-J6-K6</x:f>
        <x:v>12</x:v>
      </x:c>
      <x:c r="M6" s="44" t="str">
        <x:f>IF(L6&lt;0,"VƯỢT CAP",IF(L6=0,"HẾT","CÒN"))</x:f>
        <x:v>CÒN</x:v>
      </x:c>
      <x:c r="N6" s="44" t="str">
        <x:v>Shared</x:v>
      </x:c>
      <x:c r="O6" s="44" t="str">
        <x:v>Lõi</x:v>
      </x:c>
      <x:c r="P6" s="44" t="str">
        <x:v>Thiết kế/Event</x:v>
      </x:c>
      <x:c r="Q6" s="44" t="str">
        <x:v>Ảnh backdrop/LED</x:v>
      </x:c>
      <x:c r="R6" s="44" t="str">
        <x:v>Áp dụng cùng guideline phân cấp logo.</x:v>
      </x:c>
      <x:c r="S6" s="74"/>
      <x:c r="T6" s="50" t="str">
        <x:v>Slide/visual nhận diện tương đương</x:v>
      </x:c>
    </x:row>
    <x:row r="7">
      <x:c r="A7" s="49" t="str">
        <x:v>A03</x:v>
      </x:c>
      <x:c r="B7" s="44" t="str">
        <x:v>KG01</x:v>
      </x:c>
      <x:c r="C7" s="44" t="str">
        <x:v>Nhận diện chung toàn giải</x:v>
      </x:c>
      <x:c r="D7" s="44" t="str">
        <x:v>Logo trên tài liệu/ấn phẩm tại sự kiện</x:v>
      </x:c>
      <x:c r="E7" s="44" t="str">
        <x:v>Logo trên các tài liệu/ấn phẩm thực tế có sản xuất tại sự kiện.</x:v>
      </x:c>
      <x:c r="F7" s="44" t="str">
        <x:v>NTT</x:v>
      </x:c>
      <x:c r="G7" s="44" t="n">
        <x:v>10</x:v>
      </x:c>
      <x:c r="H7" s="74"/>
      <x:c r="I7" s="44" t="n">
        <x:f>IF(H7&gt;0,H7,G7)</x:f>
        <x:v>10</x:v>
      </x:c>
      <x:c r="J7" s="74" t="n">
        <x:v>0</x:v>
      </x:c>
      <x:c r="K7" s="44" t="n">
        <x:f>SUMIF('05_Phan_bo_thuc_te'!$C$5:$C$204,A7,'05_Phan_bo_thuc_te'!$D$5:$D$204)</x:f>
        <x:v>0</x:v>
      </x:c>
      <x:c r="L7" s="44" t="n">
        <x:f>I7-J7-K7</x:f>
        <x:v>10</x:v>
      </x:c>
      <x:c r="M7" s="44" t="str">
        <x:f>IF(L7&lt;0,"VƯỢT CAP",IF(L7=0,"HẾT","CÒN"))</x:f>
        <x:v>CÒN</x:v>
      </x:c>
      <x:c r="N7" s="44" t="str">
        <x:v>Shared</x:v>
      </x:c>
      <x:c r="O7" s="44" t="str">
        <x:v>Lõi</x:v>
      </x:c>
      <x:c r="P7" s="44" t="str">
        <x:v>Thiết kế/Event</x:v>
      </x:c>
      <x:c r="Q7" s="44" t="str">
        <x:v>Ảnh/ấn phẩm thực tế</x:v>
      </x:c>
      <x:c r="R7" s="44" t="str">
        <x:v>Chỉ áp dụng với ấn phẩm được BTC phê duyệt và thực tế có sản xuất.</x:v>
      </x:c>
      <x:c r="S7" s="74"/>
      <x:c r="T7" s="50" t="str">
        <x:v>Bổ sung trên visual/LED tương đương</x:v>
      </x:c>
    </x:row>
    <x:row r="8">
      <x:c r="A8" s="49" t="str">
        <x:v>A04</x:v>
      </x:c>
      <x:c r="B8" s="44" t="str">
        <x:v>KG02</x:v>
      </x:c>
      <x:c r="C8" s="44" t="str">
        <x:v>Check-in và đón khách</x:v>
      </x:c>
      <x:c r="D8" s="44" t="str">
        <x:v>Logo tại photo wall/check-in</x:v>
      </x:c>
      <x:c r="E8" s="44" t="str">
        <x:v>Logo trong cụm NTT tại photo wall/khu check-in.</x:v>
      </x:c>
      <x:c r="F8" s="44" t="str">
        <x:v>NTT</x:v>
      </x:c>
      <x:c r="G8" s="44" t="n">
        <x:v>10</x:v>
      </x:c>
      <x:c r="H8" s="74"/>
      <x:c r="I8" s="44" t="n">
        <x:f>IF(H8&gt;0,H8,G8)</x:f>
        <x:v>10</x:v>
      </x:c>
      <x:c r="J8" s="74" t="n">
        <x:v>0</x:v>
      </x:c>
      <x:c r="K8" s="44" t="n">
        <x:f>SUMIF('05_Phan_bo_thuc_te'!$C$5:$C$204,A8,'05_Phan_bo_thuc_te'!$D$5:$D$204)</x:f>
        <x:v>0</x:v>
      </x:c>
      <x:c r="L8" s="44" t="n">
        <x:f>I8-J8-K8</x:f>
        <x:v>10</x:v>
      </x:c>
      <x:c r="M8" s="44" t="str">
        <x:f>IF(L8&lt;0,"VƯỢT CAP",IF(L8=0,"HẾT","CÒN"))</x:f>
        <x:v>CÒN</x:v>
      </x:c>
      <x:c r="N8" s="44" t="str">
        <x:v>Shared</x:v>
      </x:c>
      <x:c r="O8" s="44" t="str">
        <x:v>Lõi</x:v>
      </x:c>
      <x:c r="P8" s="44" t="str">
        <x:v>Event/Thiết kế</x:v>
      </x:c>
      <x:c r="Q8" s="44" t="str">
        <x:v>Ảnh photo wall/check-in</x:v>
      </x:c>
      <x:c r="R8" s="44" t="str">
        <x:v>Theo layout khu đón khách và cấp hiển thị.</x:v>
      </x:c>
      <x:c r="S8" s="74"/>
      <x:c r="T8" s="50" t="str">
        <x:v>Bổ sung trên LED/check-in visual</x:v>
      </x:c>
    </x:row>
    <x:row r="9">
      <x:c r="A9" s="49" t="str">
        <x:v>A05</x:v>
      </x:c>
      <x:c r="B9" s="44" t="str">
        <x:v>KG02</x:v>
      </x:c>
      <x:c r="C9" s="44" t="str">
        <x:v>Check-in và đón khách</x:v>
      </x:c>
      <x:c r="D9" s="44" t="str">
        <x:v>Standee/biển thương hiệu riêng tại khu đón khách</x:v>
      </x:c>
      <x:c r="E9" s="44" t="str">
        <x:v>01 vị trí standee/biển thương hiệu riêng.</x:v>
      </x:c>
      <x:c r="F9" s="44" t="str">
        <x:v>Vị trí</x:v>
      </x:c>
      <x:c r="G9" s="44" t="n">
        <x:v>4</x:v>
      </x:c>
      <x:c r="H9" s="74"/>
      <x:c r="I9" s="44" t="n">
        <x:f>IF(H9&gt;0,H9,G9)</x:f>
        <x:v>4</x:v>
      </x:c>
      <x:c r="J9" s="74" t="n">
        <x:v>0</x:v>
      </x:c>
      <x:c r="K9" s="44" t="n">
        <x:f>SUMIF('05_Phan_bo_thuc_te'!$C$5:$C$204,A9,'05_Phan_bo_thuc_te'!$D$5:$D$204)</x:f>
        <x:v>0</x:v>
      </x:c>
      <x:c r="L9" s="44" t="n">
        <x:f>I9-J9-K9</x:f>
        <x:v>4</x:v>
      </x:c>
      <x:c r="M9" s="44" t="str">
        <x:f>IF(L9&lt;0,"VƯỢT CAP",IF(L9=0,"HẾT","CÒN"))</x:f>
        <x:v>CÒN</x:v>
      </x:c>
      <x:c r="N9" s="44" t="str">
        <x:v>Dedicated</x:v>
      </x:c>
      <x:c r="O9" s="44" t="str">
        <x:v>Chuyên biệt</x:v>
      </x:c>
      <x:c r="P9" s="44" t="str">
        <x:v>Event</x:v>
      </x:c>
      <x:c r="Q9" s="44" t="str">
        <x:v>Ảnh vị trí + layout</x:v>
      </x:c>
      <x:c r="R9" s="44" t="str">
        <x:v>Chỉ triển khai khi layout địa điểm cho phép.</x:v>
      </x:c>
      <x:c r="S9" s="74"/>
      <x:c r="T9" s="50" t="str">
        <x:v>Chuyển sang booth/visual tương đương</x:v>
      </x:c>
    </x:row>
    <x:row r="10">
      <x:c r="A10" s="49" t="str">
        <x:v>A06</x:v>
      </x:c>
      <x:c r="B10" s="44" t="str">
        <x:v>KG03</x:v>
      </x:c>
      <x:c r="C10" s="44" t="str">
        <x:v>Sân golf và thi đấu</x:v>
      </x:c>
      <x:c r="D10" s="44" t="str">
        <x:v>Branding hố golf thường</x:v>
      </x:c>
      <x:c r="E10" s="44" t="str">
        <x:v>Nhận diện thương hiệu tại 01 hố golf thường.</x:v>
      </x:c>
      <x:c r="F10" s="44" t="str">
        <x:v>Hố</x:v>
      </x:c>
      <x:c r="G10" s="44" t="n">
        <x:v>8</x:v>
      </x:c>
      <x:c r="H10" s="74"/>
      <x:c r="I10" s="44" t="n">
        <x:f>IF(H10&gt;0,H10,G10)</x:f>
        <x:v>8</x:v>
      </x:c>
      <x:c r="J10" s="74" t="n">
        <x:v>0</x:v>
      </x:c>
      <x:c r="K10" s="44" t="n">
        <x:f>SUMIF('05_Phan_bo_thuc_te'!$C$5:$C$204,A10,'05_Phan_bo_thuc_te'!$D$5:$D$204)</x:f>
        <x:v>0</x:v>
      </x:c>
      <x:c r="L10" s="44" t="n">
        <x:f>I10-J10-K10</x:f>
        <x:v>8</x:v>
      </x:c>
      <x:c r="M10" s="44" t="str">
        <x:f>IF(L10&lt;0,"VƯỢT CAP",IF(L10=0,"HẾT","CÒN"))</x:f>
        <x:v>CÒN</x:v>
      </x:c>
      <x:c r="N10" s="44" t="str">
        <x:v>Dedicated</x:v>
      </x:c>
      <x:c r="O10" s="44" t="str">
        <x:v>Lõi</x:v>
      </x:c>
      <x:c r="P10" s="44" t="str">
        <x:v>Event/Sân</x:v>
      </x:c>
      <x:c r="Q10" s="44" t="str">
        <x:v>Ảnh biển tại hố</x:v>
      </x:c>
      <x:c r="R10" s="44" t="str">
        <x:v>Không trùng hố HIO/giải kỹ thuật; vị trí cụ thể do BTC điều phối.</x:v>
      </x:c>
      <x:c r="S10" s="74"/>
      <x:c r="T10" s="50" t="str">
        <x:v>Chuyển sang hố khác tương đương</x:v>
      </x:c>
    </x:row>
    <x:row r="11">
      <x:c r="A11" s="49" t="str">
        <x:v>A07</x:v>
      </x:c>
      <x:c r="B11" s="44" t="str">
        <x:v>KG03</x:v>
      </x:c>
      <x:c r="C11" s="44" t="str">
        <x:v>Sân golf và thi đấu</x:v>
      </x:c>
      <x:c r="D11" s="44" t="str">
        <x:v>Tài trợ Hole-in-One</x:v>
      </x:c>
      <x:c r="E11" s="44" t="str">
        <x:v>Gắn thương hiệu với 01 hố HIO theo gói chuyên biệt.</x:v>
      </x:c>
      <x:c r="F11" s="44" t="str">
        <x:v>Hố HIO</x:v>
      </x:c>
      <x:c r="G11" s="44" t="n">
        <x:v>2</x:v>
      </x:c>
      <x:c r="H11" s="74"/>
      <x:c r="I11" s="44" t="n">
        <x:f>IF(H11&gt;0,H11,G11)</x:f>
        <x:v>2</x:v>
      </x:c>
      <x:c r="J11" s="74" t="n">
        <x:v>0</x:v>
      </x:c>
      <x:c r="K11" s="44" t="n">
        <x:f>SUMIF('05_Phan_bo_thuc_te'!$C$5:$C$204,A11,'05_Phan_bo_thuc_te'!$D$5:$D$204)</x:f>
        <x:v>0</x:v>
      </x:c>
      <x:c r="L11" s="44" t="n">
        <x:f>I11-J11-K11</x:f>
        <x:v>2</x:v>
      </x:c>
      <x:c r="M11" s="44" t="str">
        <x:f>IF(L11&lt;0,"VƯỢT CAP",IF(L11=0,"HẾT","CÒN"))</x:f>
        <x:v>CÒN</x:v>
      </x:c>
      <x:c r="N11" s="44" t="str">
        <x:v>Signature</x:v>
      </x:c>
      <x:c r="O11" s="44" t="str">
        <x:v>Chuyên biệt</x:v>
      </x:c>
      <x:c r="P11" s="44" t="str">
        <x:v>BTC/Event</x:v>
      </x:c>
      <x:c r="Q11" s="44" t="str">
        <x:v>Ảnh biển + điều lệ/biên bản</x:v>
      </x:c>
      <x:c r="R11" s="44" t="str">
        <x:v>Không mặc định trong 06 gói cơ sở; chốt riêng theo giải thưởng/bảo hiểm HIO.</x:v>
      </x:c>
      <x:c r="S11" s="74"/>
      <x:c r="T11" s="50" t="str">
        <x:v>Giải kỹ thuật hoặc media tương đương</x:v>
      </x:c>
    </x:row>
    <x:row r="12">
      <x:c r="A12" s="49" t="str">
        <x:v>A08</x:v>
      </x:c>
      <x:c r="B12" s="44" t="str">
        <x:v>KG03</x:v>
      </x:c>
      <x:c r="C12" s="44" t="str">
        <x:v>Sân golf và thi đấu</x:v>
      </x:c>
      <x:c r="D12" s="44" t="str">
        <x:v>Tài trợ giải kỹ thuật</x:v>
      </x:c>
      <x:c r="E12" s="44" t="str">
        <x:v>Gắn thương hiệu với 01 giải kỹ thuật: Nearest to the Pin/Longest Drive/...</x:v>
      </x:c>
      <x:c r="F12" s="44" t="str">
        <x:v>Giải</x:v>
      </x:c>
      <x:c r="G12" s="44" t="n">
        <x:v>4</x:v>
      </x:c>
      <x:c r="H12" s="74"/>
      <x:c r="I12" s="44" t="n">
        <x:f>IF(H12&gt;0,H12,G12)</x:f>
        <x:v>4</x:v>
      </x:c>
      <x:c r="J12" s="74" t="n">
        <x:v>0</x:v>
      </x:c>
      <x:c r="K12" s="44" t="n">
        <x:f>SUMIF('05_Phan_bo_thuc_te'!$C$5:$C$204,A12,'05_Phan_bo_thuc_te'!$D$5:$D$204)</x:f>
        <x:v>0</x:v>
      </x:c>
      <x:c r="L12" s="44" t="n">
        <x:f>I12-J12-K12</x:f>
        <x:v>4</x:v>
      </x:c>
      <x:c r="M12" s="44" t="str">
        <x:f>IF(L12&lt;0,"VƯỢT CAP",IF(L12=0,"HẾT","CÒN"))</x:f>
        <x:v>CÒN</x:v>
      </x:c>
      <x:c r="N12" s="44" t="str">
        <x:v>Dedicated</x:v>
      </x:c>
      <x:c r="O12" s="44" t="str">
        <x:v>Chuyên biệt</x:v>
      </x:c>
      <x:c r="P12" s="44" t="str">
        <x:v>BTC/Event</x:v>
      </x:c>
      <x:c r="Q12" s="44" t="str">
        <x:v>Ảnh biển + ảnh trao giải</x:v>
      </x:c>
      <x:c r="R12" s="44" t="str">
        <x:v>Không mặc định trong 06 gói cơ sở; số giải theo điều lệ cuối.</x:v>
      </x:c>
      <x:c r="S12" s="74"/>
      <x:c r="T12" s="50" t="str">
        <x:v>Hạng mục giải tương đương</x:v>
      </x:c>
    </x:row>
    <x:row r="13">
      <x:c r="A13" s="49" t="str">
        <x:v>A09</x:v>
      </x:c>
      <x:c r="B13" s="44" t="str">
        <x:v>KG04</x:v>
      </x:c>
      <x:c r="C13" s="44" t="str">
        <x:v>Golfer và Networking</x:v>
      </x:c>
      <x:c r="D13" s="44" t="str">
        <x:v>Suất golfer</x:v>
      </x:c>
      <x:c r="E13" s="44" t="str">
        <x:v>01 suất tham dự thi đấu; 04 suất có thể bố trí 01 flight theo điều phối BTC.</x:v>
      </x:c>
      <x:c r="F13" s="44" t="str">
        <x:v>Golfer</x:v>
      </x:c>
      <x:c r="G13" s="44" t="n">
        <x:v>32</x:v>
      </x:c>
      <x:c r="H13" s="74"/>
      <x:c r="I13" s="44" t="n">
        <x:f>IF(H13&gt;0,H13,G13)</x:f>
        <x:v>32</x:v>
      </x:c>
      <x:c r="J13" s="74" t="n">
        <x:v>0</x:v>
      </x:c>
      <x:c r="K13" s="44" t="n">
        <x:f>SUMIF('05_Phan_bo_thuc_te'!$C$5:$C$204,A13,'05_Phan_bo_thuc_te'!$D$5:$D$204)</x:f>
        <x:v>0</x:v>
      </x:c>
      <x:c r="L13" s="44" t="n">
        <x:f>I13-J13-K13</x:f>
        <x:v>32</x:v>
      </x:c>
      <x:c r="M13" s="44" t="str">
        <x:f>IF(L13&lt;0,"VƯỢT CAP",IF(L13=0,"HẾT","CÒN"))</x:f>
        <x:v>CÒN</x:v>
      </x:c>
      <x:c r="N13" s="44" t="str">
        <x:v>Dedicated</x:v>
      </x:c>
      <x:c r="O13" s="44" t="str">
        <x:v>Lõi</x:v>
      </x:c>
      <x:c r="P13" s="44" t="str">
        <x:v>Điều phối golfer</x:v>
      </x:c>
      <x:c r="Q13" s="44" t="str">
        <x:v>Pairing list/check-in</x:v>
      </x:c>
      <x:c r="R13" s="44" t="str">
        <x:v>Flight không phải kho quyền lợi riêng; không mặc định flight riêng nếu dưới 04 suất.</x:v>
      </x:c>
      <x:c r="S13" s="74"/>
      <x:c r="T13" s="50" t="str">
        <x:v>Đổi sang Gala/media theo thỏa thuận nếu không thể bố trí</x:v>
      </x:c>
    </x:row>
    <x:row r="14">
      <x:c r="A14" s="49" t="str">
        <x:v>A10</x:v>
      </x:c>
      <x:c r="B14" s="44" t="str">
        <x:v>KG04</x:v>
      </x:c>
      <x:c r="C14" s="44" t="str">
        <x:v>Golfer và Networking</x:v>
      </x:c>
      <x:c r="D14" s="44" t="str">
        <x:v>Suất Gala Dinner/Lễ trao giải</x:v>
      </x:c>
      <x:c r="E14" s="44" t="str">
        <x:v>01 suất tham dự Gala Dinner và Lễ trao giải.</x:v>
      </x:c>
      <x:c r="F14" s="44" t="str">
        <x:v>Khách</x:v>
      </x:c>
      <x:c r="G14" s="44" t="n">
        <x:v>60</x:v>
      </x:c>
      <x:c r="H14" s="74"/>
      <x:c r="I14" s="44" t="n">
        <x:f>IF(H14&gt;0,H14,G14)</x:f>
        <x:v>60</x:v>
      </x:c>
      <x:c r="J14" s="74" t="n">
        <x:v>0</x:v>
      </x:c>
      <x:c r="K14" s="44" t="n">
        <x:f>SUMIF('05_Phan_bo_thuc_te'!$C$5:$C$204,A14,'05_Phan_bo_thuc_te'!$D$5:$D$204)</x:f>
        <x:v>0</x:v>
      </x:c>
      <x:c r="L14" s="44" t="n">
        <x:f>I14-J14-K14</x:f>
        <x:v>60</x:v>
      </x:c>
      <x:c r="M14" s="44" t="str">
        <x:f>IF(L14&lt;0,"VƯỢT CAP",IF(L14=0,"HẾT","CÒN"))</x:f>
        <x:v>CÒN</x:v>
      </x:c>
      <x:c r="N14" s="44" t="str">
        <x:v>Shared</x:v>
      </x:c>
      <x:c r="O14" s="44" t="str">
        <x:v>Lõi</x:v>
      </x:c>
      <x:c r="P14" s="44" t="str">
        <x:v>Guest/Gala</x:v>
      </x:c>
      <x:c r="Q14" s="44" t="str">
        <x:v>Danh sách khách + check-in</x:v>
      </x:c>
      <x:c r="R14" s="44" t="str">
        <x:v>Bàn/ghế VIP là cách bố trí trong quota; không tạo kho quyền lợi riêng.</x:v>
      </x:c>
      <x:c r="S14" s="74"/>
      <x:c r="T14" s="50" t="str">
        <x:v>Bố trí ghế tương đương hoặc quyền lợi khác</x:v>
      </x:c>
    </x:row>
    <x:row r="15">
      <x:c r="A15" s="49" t="str">
        <x:v>A11</x:v>
      </x:c>
      <x:c r="B15" s="44" t="str">
        <x:v>KG05</x:v>
      </x:c>
      <x:c r="C15" s="44" t="str">
        <x:v>Activation và trưng bày thương hiệu</x:v>
      </x:c>
      <x:c r="D15" s="44" t="str">
        <x:v>Booth/điểm activation riêng</x:v>
      </x:c>
      <x:c r="E15" s="44" t="str">
        <x:v>01 vị trí booth/activation riêng.</x:v>
      </x:c>
      <x:c r="F15" s="44" t="str">
        <x:v>Vị trí</x:v>
      </x:c>
      <x:c r="G15" s="44" t="n">
        <x:v>4</x:v>
      </x:c>
      <x:c r="H15" s="74"/>
      <x:c r="I15" s="44" t="n">
        <x:f>IF(H15&gt;0,H15,G15)</x:f>
        <x:v>4</x:v>
      </x:c>
      <x:c r="J15" s="74" t="n">
        <x:v>0</x:v>
      </x:c>
      <x:c r="K15" s="44" t="n">
        <x:f>SUMIF('05_Phan_bo_thuc_te'!$C$5:$C$204,A15,'05_Phan_bo_thuc_te'!$D$5:$D$204)</x:f>
        <x:v>0</x:v>
      </x:c>
      <x:c r="L15" s="44" t="n">
        <x:f>I15-J15-K15</x:f>
        <x:v>4</x:v>
      </x:c>
      <x:c r="M15" s="44" t="str">
        <x:f>IF(L15&lt;0,"VƯỢT CAP",IF(L15=0,"HẾT","CÒN"))</x:f>
        <x:v>CÒN</x:v>
      </x:c>
      <x:c r="N15" s="44" t="str">
        <x:v>Dedicated</x:v>
      </x:c>
      <x:c r="O15" s="44" t="str">
        <x:v>Chuyên biệt</x:v>
      </x:c>
      <x:c r="P15" s="44" t="str">
        <x:v>Event</x:v>
      </x:c>
      <x:c r="Q15" s="44" t="str">
        <x:v>Ảnh booth + layout</x:v>
      </x:c>
      <x:c r="R15" s="44" t="str">
        <x:v>Phụ thuộc mặt bằng, điện, quy định sân/địa điểm.</x:v>
      </x:c>
      <x:c r="S15" s="74"/>
      <x:c r="T15" s="50" t="str">
        <x:v>Điểm trưng bày/standee hoặc media tương đương</x:v>
      </x:c>
    </x:row>
    <x:row r="16">
      <x:c r="A16" s="49" t="str">
        <x:v>A12</x:v>
      </x:c>
      <x:c r="B16" s="44" t="str">
        <x:v>KG05</x:v>
      </x:c>
      <x:c r="C16" s="44" t="str">
        <x:v>Activation và trưng bày thương hiệu</x:v>
      </x:c>
      <x:c r="D16" s="44" t="str">
        <x:v>Vị trí trưng bày xe/sản phẩm kích thước lớn</x:v>
      </x:c>
      <x:c r="E16" s="44" t="str">
        <x:v>01 vị trí trưng bày riêng cho xe/sản phẩm kích thước lớn.</x:v>
      </x:c>
      <x:c r="F16" s="44" t="str">
        <x:v>Vị trí</x:v>
      </x:c>
      <x:c r="G16" s="44" t="n">
        <x:v>2</x:v>
      </x:c>
      <x:c r="H16" s="74"/>
      <x:c r="I16" s="44" t="n">
        <x:f>IF(H16&gt;0,H16,G16)</x:f>
        <x:v>2</x:v>
      </x:c>
      <x:c r="J16" s="74" t="n">
        <x:v>0</x:v>
      </x:c>
      <x:c r="K16" s="44" t="n">
        <x:f>SUMIF('05_Phan_bo_thuc_te'!$C$5:$C$204,A16,'05_Phan_bo_thuc_te'!$D$5:$D$204)</x:f>
        <x:v>0</x:v>
      </x:c>
      <x:c r="L16" s="44" t="n">
        <x:f>I16-J16-K16</x:f>
        <x:v>2</x:v>
      </x:c>
      <x:c r="M16" s="44" t="str">
        <x:f>IF(L16&lt;0,"VƯỢT CAP",IF(L16=0,"HẾT","CÒN"))</x:f>
        <x:v>CÒN</x:v>
      </x:c>
      <x:c r="N16" s="44" t="str">
        <x:v>Signature</x:v>
      </x:c>
      <x:c r="O16" s="44" t="str">
        <x:v>Chuyên biệt</x:v>
      </x:c>
      <x:c r="P16" s="44" t="str">
        <x:v>Event</x:v>
      </x:c>
      <x:c r="Q16" s="44" t="str">
        <x:v>Ảnh vị trí + layout</x:v>
      </x:c>
      <x:c r="R16" s="44" t="str">
        <x:v>Phải được địa điểm chấp thuận; không mặc định quyền lái thử.</x:v>
      </x:c>
      <x:c r="S16" s="74"/>
      <x:c r="T16" s="50" t="str">
        <x:v>Booth/khu trưng bày tương đương</x:v>
      </x:c>
    </x:row>
    <x:row r="17">
      <x:c r="A17" s="49" t="str">
        <x:v>A13</x:v>
      </x:c>
      <x:c r="B17" s="44" t="str">
        <x:v>KG05</x:v>
      </x:c>
      <x:c r="C17" s="44" t="str">
        <x:v>Activation và trưng bày thương hiệu</x:v>
      </x:c>
      <x:c r="D17" s="44" t="str">
        <x:v>Sản phẩm/voucher trong gift bag</x:v>
      </x:c>
      <x:c r="E17" s="44" t="str">
        <x:v>01 nhãn hàng được đưa sản phẩm/voucher vào túi quà golfer.</x:v>
      </x:c>
      <x:c r="F17" s="44" t="str">
        <x:v>Nhãn hàng</x:v>
      </x:c>
      <x:c r="G17" s="44" t="n">
        <x:v>8</x:v>
      </x:c>
      <x:c r="H17" s="74"/>
      <x:c r="I17" s="44" t="n">
        <x:f>IF(H17&gt;0,H17,G17)</x:f>
        <x:v>8</x:v>
      </x:c>
      <x:c r="J17" s="74" t="n">
        <x:v>0</x:v>
      </x:c>
      <x:c r="K17" s="44" t="n">
        <x:f>SUMIF('05_Phan_bo_thuc_te'!$C$5:$C$204,A17,'05_Phan_bo_thuc_te'!$D$5:$D$204)</x:f>
        <x:v>0</x:v>
      </x:c>
      <x:c r="L17" s="44" t="n">
        <x:f>I17-J17-K17</x:f>
        <x:v>8</x:v>
      </x:c>
      <x:c r="M17" s="44" t="str">
        <x:f>IF(L17&lt;0,"VƯỢT CAP",IF(L17=0,"HẾT","CÒN"))</x:f>
        <x:v>CÒN</x:v>
      </x:c>
      <x:c r="N17" s="44" t="str">
        <x:v>Shared</x:v>
      </x:c>
      <x:c r="O17" s="44" t="str">
        <x:v>Lõi</x:v>
      </x:c>
      <x:c r="P17" s="44" t="str">
        <x:v>Event/Guest</x:v>
      </x:c>
      <x:c r="Q17" s="44" t="str">
        <x:v>Ảnh gift bag + biên bản nhận hàng</x:v>
      </x:c>
      <x:c r="R17" s="44" t="str">
        <x:v>NTT giao đủ số lượng, đúng quy cách và deadline.</x:v>
      </x:c>
      <x:c r="S17" s="74"/>
      <x:c r="T17" s="50" t="str">
        <x:v>Phát tại check-in nếu không kịp đóng gift bag</x:v>
      </x:c>
    </x:row>
    <x:row r="18">
      <x:c r="A18" s="49" t="str">
        <x:v>A14</x:v>
      </x:c>
      <x:c r="B18" s="44" t="str">
        <x:v>KG05</x:v>
      </x:c>
      <x:c r="C18" s="44" t="str">
        <x:v>Activation và trưng bày thương hiệu</x:v>
      </x:c>
      <x:c r="D18" s="44" t="str">
        <x:v>Sampling/trải nghiệm sản phẩm</x:v>
      </x:c>
      <x:c r="E18" s="44" t="str">
        <x:v>01 hoạt động sampling/trải nghiệm tại khu vực được BTC bố trí.</x:v>
      </x:c>
      <x:c r="F18" s="44" t="str">
        <x:v>Hoạt động</x:v>
      </x:c>
      <x:c r="G18" s="44" t="n">
        <x:v>3</x:v>
      </x:c>
      <x:c r="H18" s="74"/>
      <x:c r="I18" s="44" t="n">
        <x:f>IF(H18&gt;0,H18,G18)</x:f>
        <x:v>3</x:v>
      </x:c>
      <x:c r="J18" s="74" t="n">
        <x:v>0</x:v>
      </x:c>
      <x:c r="K18" s="44" t="n">
        <x:f>SUMIF('05_Phan_bo_thuc_te'!$C$5:$C$204,A18,'05_Phan_bo_thuc_te'!$D$5:$D$204)</x:f>
        <x:v>0</x:v>
      </x:c>
      <x:c r="L18" s="44" t="n">
        <x:f>I18-J18-K18</x:f>
        <x:v>3</x:v>
      </x:c>
      <x:c r="M18" s="44" t="str">
        <x:f>IF(L18&lt;0,"VƯỢT CAP",IF(L18=0,"HẾT","CÒN"))</x:f>
        <x:v>CÒN</x:v>
      </x:c>
      <x:c r="N18" s="44" t="str">
        <x:v>Dedicated</x:v>
      </x:c>
      <x:c r="O18" s="44" t="str">
        <x:v>Chuyên biệt</x:v>
      </x:c>
      <x:c r="P18" s="44" t="str">
        <x:v>Event</x:v>
      </x:c>
      <x:c r="Q18" s="44" t="str">
        <x:v>Ảnh hoạt động</x:v>
      </x:c>
      <x:c r="R18" s="44" t="str">
        <x:v>Không ảnh hưởng luồng khách/thi đấu; tuân thủ quy định địa điểm.</x:v>
      </x:c>
      <x:c r="S18" s="74"/>
      <x:c r="T18" s="50" t="str">
        <x:v>Booth/trưng bày hoặc gift bag</x:v>
      </x:c>
    </x:row>
    <x:row r="19">
      <x:c r="A19" s="49" t="str">
        <x:v>A15</x:v>
      </x:c>
      <x:c r="B19" s="44" t="str">
        <x:v>KG06</x:v>
      </x:c>
      <x:c r="C19" s="44" t="str">
        <x:v>Gala Dinner và Lễ trao giải</x:v>
      </x:c>
      <x:c r="D19" s="44" t="str">
        <x:v>Logo trên LED/backdrop Gala</x:v>
      </x:c>
      <x:c r="E19" s="44" t="str">
        <x:v>Logo trong cụm NTT trên sân khấu/LED Gala; kích thước/thứ tự theo danh vị.</x:v>
      </x:c>
      <x:c r="F19" s="44" t="str">
        <x:v>NTT</x:v>
      </x:c>
      <x:c r="G19" s="44" t="n">
        <x:v>12</x:v>
      </x:c>
      <x:c r="H19" s="74"/>
      <x:c r="I19" s="44" t="n">
        <x:f>IF(H19&gt;0,H19,G19)</x:f>
        <x:v>12</x:v>
      </x:c>
      <x:c r="J19" s="74" t="n">
        <x:v>0</x:v>
      </x:c>
      <x:c r="K19" s="44" t="n">
        <x:f>SUMIF('05_Phan_bo_thuc_te'!$C$5:$C$204,A19,'05_Phan_bo_thuc_te'!$D$5:$D$204)</x:f>
        <x:v>0</x:v>
      </x:c>
      <x:c r="L19" s="44" t="n">
        <x:f>I19-J19-K19</x:f>
        <x:v>12</x:v>
      </x:c>
      <x:c r="M19" s="44" t="str">
        <x:f>IF(L19&lt;0,"VƯỢT CAP",IF(L19=0,"HẾT","CÒN"))</x:f>
        <x:v>CÒN</x:v>
      </x:c>
      <x:c r="N19" s="44" t="str">
        <x:v>Shared</x:v>
      </x:c>
      <x:c r="O19" s="44" t="str">
        <x:v>Lõi</x:v>
      </x:c>
      <x:c r="P19" s="44" t="str">
        <x:v>Stage/Thiết kế</x:v>
      </x:c>
      <x:c r="Q19" s="44" t="str">
        <x:v>Ảnh sân khấu/LED</x:v>
      </x:c>
      <x:c r="R19" s="44" t="str">
        <x:v>Theo guideline phân cấp logo.</x:v>
      </x:c>
      <x:c r="S19" s="74"/>
      <x:c r="T19" s="50" t="str">
        <x:v>Slide cảm ơn/visual Gala</x:v>
      </x:c>
    </x:row>
    <x:row r="20">
      <x:c r="A20" s="49" t="str">
        <x:v>A16</x:v>
      </x:c>
      <x:c r="B20" s="44" t="str">
        <x:v>KG06</x:v>
      </x:c>
      <x:c r="C20" s="44" t="str">
        <x:v>Gala Dinner và Lễ trao giải</x:v>
      </x:c>
      <x:c r="D20" s="44" t="str">
        <x:v>MC ghi nhận/cảm ơn Nhà tài trợ</x:v>
      </x:c>
      <x:c r="E20" s="44" t="str">
        <x:v>Tên thương hiệu được MC ghi nhận tại mốc phù hợp trong Gala.</x:v>
      </x:c>
      <x:c r="F20" s="44" t="str">
        <x:v>NTT</x:v>
      </x:c>
      <x:c r="G20" s="44" t="n">
        <x:v>12</x:v>
      </x:c>
      <x:c r="H20" s="74"/>
      <x:c r="I20" s="44" t="n">
        <x:f>IF(H20&gt;0,H20,G20)</x:f>
        <x:v>12</x:v>
      </x:c>
      <x:c r="J20" s="74" t="n">
        <x:v>0</x:v>
      </x:c>
      <x:c r="K20" s="44" t="n">
        <x:f>SUMIF('05_Phan_bo_thuc_te'!$C$5:$C$204,A20,'05_Phan_bo_thuc_te'!$D$5:$D$204)</x:f>
        <x:v>0</x:v>
      </x:c>
      <x:c r="L20" s="44" t="n">
        <x:f>I20-J20-K20</x:f>
        <x:v>12</x:v>
      </x:c>
      <x:c r="M20" s="44" t="str">
        <x:f>IF(L20&lt;0,"VƯỢT CAP",IF(L20=0,"HẾT","CÒN"))</x:f>
        <x:v>CÒN</x:v>
      </x:c>
      <x:c r="N20" s="44" t="str">
        <x:v>Shared</x:v>
      </x:c>
      <x:c r="O20" s="44" t="str">
        <x:v>Lõi</x:v>
      </x:c>
      <x:c r="P20" s="44" t="str">
        <x:v>Kịch bản/MC</x:v>
      </x:c>
      <x:c r="Q20" s="44" t="str">
        <x:v>Kịch bản final + video/ảnh</x:v>
      </x:c>
      <x:c r="R20" s="44" t="str">
        <x:v>Gom theo cụm cấp tài trợ; NTT chính được ưu tiên thứ tự ghi nhận.</x:v>
      </x:c>
      <x:c r="S20" s="74"/>
      <x:c r="T20" s="50" t="str">
        <x:v>Slide cảm ơn nếu mốc MC thay đổi</x:v>
      </x:c>
    </x:row>
    <x:row r="21">
      <x:c r="A21" s="49" t="str">
        <x:v>A17</x:v>
      </x:c>
      <x:c r="B21" s="44" t="str">
        <x:v>KG06</x:v>
      </x:c>
      <x:c r="C21" s="44" t="str">
        <x:v>Gala Dinner và Lễ trao giải</x:v>
      </x:c>
      <x:c r="D21" s="44" t="str">
        <x:v>Đại diện Nhà tài trợ trao giải</x:v>
      </x:c>
      <x:c r="E21" s="44" t="str">
        <x:v>01 đại diện lên sân khấu trao 01 hạng mục giải.</x:v>
      </x:c>
      <x:c r="F21" s="44" t="str">
        <x:v>Slot</x:v>
      </x:c>
      <x:c r="G21" s="44" t="n">
        <x:v>6</x:v>
      </x:c>
      <x:c r="H21" s="74"/>
      <x:c r="I21" s="44" t="n">
        <x:f>IF(H21&gt;0,H21,G21)</x:f>
        <x:v>6</x:v>
      </x:c>
      <x:c r="J21" s="74" t="n">
        <x:v>0</x:v>
      </x:c>
      <x:c r="K21" s="44" t="n">
        <x:f>SUMIF('05_Phan_bo_thuc_te'!$C$5:$C$204,A21,'05_Phan_bo_thuc_te'!$D$5:$D$204)</x:f>
        <x:v>0</x:v>
      </x:c>
      <x:c r="L21" s="44" t="n">
        <x:f>I21-J21-K21</x:f>
        <x:v>6</x:v>
      </x:c>
      <x:c r="M21" s="44" t="str">
        <x:f>IF(L21&lt;0,"VƯỢT CAP",IF(L21=0,"HẾT","CÒN"))</x:f>
        <x:v>CÒN</x:v>
      </x:c>
      <x:c r="N21" s="44" t="str">
        <x:v>Dedicated</x:v>
      </x:c>
      <x:c r="O21" s="44" t="str">
        <x:v>Chuyên biệt</x:v>
      </x:c>
      <x:c r="P21" s="44" t="str">
        <x:v>Stage manager</x:v>
      </x:c>
      <x:c r="Q21" s="44" t="str">
        <x:v>Ảnh/video trao giải</x:v>
      </x:c>
      <x:c r="R21" s="44" t="str">
        <x:v>Theo cơ cấu giải và run-of-show cuối cùng.</x:v>
      </x:c>
      <x:c r="S21" s="74"/>
      <x:c r="T21" s="50" t="str">
        <x:v>Hạng mục trao giải khác tương đương</x:v>
      </x:c>
    </x:row>
    <x:row r="22">
      <x:c r="A22" s="49" t="str">
        <x:v>A18</x:v>
      </x:c>
      <x:c r="B22" s="44" t="str">
        <x:v>KG06</x:v>
      </x:c>
      <x:c r="C22" s="44" t="str">
        <x:v>Gala Dinner và Lễ trao giải</x:v>
      </x:c>
      <x:c r="D22" s="44" t="str">
        <x:v>Phát biểu tại Gala</x:v>
      </x:c>
      <x:c r="E22" s="44" t="str">
        <x:v>01 slot phát biểu ngắn dành cho Nhà tài trợ chính.</x:v>
      </x:c>
      <x:c r="F22" s="44" t="str">
        <x:v>Slot</x:v>
      </x:c>
      <x:c r="G22" s="44" t="n">
        <x:v>1</x:v>
      </x:c>
      <x:c r="H22" s="74"/>
      <x:c r="I22" s="44" t="n">
        <x:f>IF(H22&gt;0,H22,G22)</x:f>
        <x:v>1</x:v>
      </x:c>
      <x:c r="J22" s="74" t="n">
        <x:v>0</x:v>
      </x:c>
      <x:c r="K22" s="44" t="n">
        <x:f>SUMIF('05_Phan_bo_thuc_te'!$C$5:$C$204,A22,'05_Phan_bo_thuc_te'!$D$5:$D$204)</x:f>
        <x:v>0</x:v>
      </x:c>
      <x:c r="L22" s="44" t="n">
        <x:f>I22-J22-K22</x:f>
        <x:v>1</x:v>
      </x:c>
      <x:c r="M22" s="44" t="str">
        <x:f>IF(L22&lt;0,"VƯỢT CAP",IF(L22=0,"HẾT","CÒN"))</x:f>
        <x:v>CÒN</x:v>
      </x:c>
      <x:c r="N22" s="44" t="str">
        <x:v>Signature</x:v>
      </x:c>
      <x:c r="O22" s="44" t="str">
        <x:v>Chuyên biệt</x:v>
      </x:c>
      <x:c r="P22" s="44" t="str">
        <x:v>BTC/Kịch bản</x:v>
      </x:c>
      <x:c r="Q22" s="44" t="str">
        <x:v>Video + kịch bản</x:v>
      </x:c>
      <x:c r="R22" s="44" t="str">
        <x:v>Nội dung và thời lượng phải được BTC duyệt trước.</x:v>
      </x:c>
      <x:c r="S22" s="74"/>
      <x:c r="T22" s="50" t="str">
        <x:v>TVC + quyền trao giải chính theo thỏa thuận</x:v>
      </x:c>
    </x:row>
    <x:row r="23">
      <x:c r="A23" s="49" t="str">
        <x:v>A19</x:v>
      </x:c>
      <x:c r="B23" s="44" t="str">
        <x:v>KG06</x:v>
      </x:c>
      <x:c r="C23" s="44" t="str">
        <x:v>Gala Dinner và Lễ trao giải</x:v>
      </x:c>
      <x:c r="D23" s="44" t="str">
        <x:v>TVC/video thương hiệu trên màn hình Gala</x:v>
      </x:c>
      <x:c r="E23" s="44" t="str">
        <x:v>01 lượt phát TVC/video thương hiệu trong khung BTC bố trí.</x:v>
      </x:c>
      <x:c r="F23" s="44" t="str">
        <x:v>Slot</x:v>
      </x:c>
      <x:c r="G23" s="44" t="n">
        <x:v>4</x:v>
      </x:c>
      <x:c r="H23" s="74"/>
      <x:c r="I23" s="44" t="n">
        <x:f>IF(H23&gt;0,H23,G23)</x:f>
        <x:v>4</x:v>
      </x:c>
      <x:c r="J23" s="74" t="n">
        <x:v>0</x:v>
      </x:c>
      <x:c r="K23" s="44" t="n">
        <x:f>SUMIF('05_Phan_bo_thuc_te'!$C$5:$C$204,A23,'05_Phan_bo_thuc_te'!$D$5:$D$204)</x:f>
        <x:v>0</x:v>
      </x:c>
      <x:c r="L23" s="44" t="n">
        <x:f>I23-J23-K23</x:f>
        <x:v>4</x:v>
      </x:c>
      <x:c r="M23" s="44" t="str">
        <x:f>IF(L23&lt;0,"VƯỢT CAP",IF(L23=0,"HẾT","CÒN"))</x:f>
        <x:v>CÒN</x:v>
      </x:c>
      <x:c r="N23" s="44" t="str">
        <x:v>Dedicated</x:v>
      </x:c>
      <x:c r="O23" s="44" t="str">
        <x:v>Chuyên biệt</x:v>
      </x:c>
      <x:c r="P23" s="44" t="str">
        <x:v>Stage/AV</x:v>
      </x:c>
      <x:c r="Q23" s="44" t="str">
        <x:v>Cue sheet + video ghi nhận</x:v>
      </x:c>
      <x:c r="R23" s="44" t="str">
        <x:v>Chuẩn file, thời lượng và deadline theo yêu cầu BTC.</x:v>
      </x:c>
      <x:c r="S23" s="74"/>
      <x:c r="T23" s="50" t="str">
        <x:v>Slide/visual thương hiệu hoặc social/video post</x:v>
      </x:c>
    </x:row>
    <x:row r="24">
      <x:c r="A24" s="49" t="str">
        <x:v>A20</x:v>
      </x:c>
      <x:c r="B24" s="44" t="str">
        <x:v>KG07</x:v>
      </x:c>
      <x:c r="C24" s="44" t="str">
        <x:v>Truyền thông trên hệ sinh thái Báo Lao Động</x:v>
      </x:c>
      <x:c r="D24" s="44" t="str">
        <x:v>Logobox NTT cuối tin/bài về giải</x:v>
      </x:c>
      <x:c r="E24" s="44" t="str">
        <x:v>Logo NTT trong cùng logobox ở cuối các tin/bài phù hợp thuộc tuyến nội dung chính thức về giải trên Lao Động điện tử và Báo Lao Động in; kích thước/thứ tự theo danh vị.</x:v>
      </x:c>
      <x:c r="F24" s="44" t="str">
        <x:v>NTT</x:v>
      </x:c>
      <x:c r="G24" s="44" t="n">
        <x:v>12</x:v>
      </x:c>
      <x:c r="H24" s="74"/>
      <x:c r="I24" s="44" t="n">
        <x:f>IF(H24&gt;0,H24,G24)</x:f>
        <x:v>12</x:v>
      </x:c>
      <x:c r="J24" s="74" t="n">
        <x:v>0</x:v>
      </x:c>
      <x:c r="K24" s="44" t="n">
        <x:f>SUMIF('05_Phan_bo_thuc_te'!$C$5:$C$204,A24,'05_Phan_bo_thuc_te'!$D$5:$D$204)</x:f>
        <x:v>0</x:v>
      </x:c>
      <x:c r="L24" s="44" t="n">
        <x:f>I24-J24-K24</x:f>
        <x:v>12</x:v>
      </x:c>
      <x:c r="M24" s="44" t="str">
        <x:f>IF(L24&lt;0,"VƯỢT CAP",IF(L24=0,"HẾT","CÒN"))</x:f>
        <x:v>CÒN</x:v>
      </x:c>
      <x:c r="N24" s="44" t="str">
        <x:v>Shared</x:v>
      </x:c>
      <x:c r="O24" s="44" t="str">
        <x:v>Lõi</x:v>
      </x:c>
      <x:c r="P24" s="44" t="str">
        <x:v>Media/Thiết kế</x:v>
      </x:c>
      <x:c r="Q24" s="44" t="str">
        <x:v>Link bài/bản in có logobox</x:v>
      </x:c>
      <x:c r="R24" s="44" t="str">
        <x:v>Dùng template logobox thống nhất; áp dụng theo kế hoạch xuất bản và thiết kế được duyệt.</x:v>
      </x:c>
      <x:c r="S24" s="74"/>
      <x:c r="T24" s="50" t="str">
        <x:v>Logobox tại bài/ấn phẩm phù hợp khác</x:v>
      </x:c>
    </x:row>
    <x:row r="25">
      <x:c r="A25" s="49" t="str">
        <x:v>A21</x:v>
      </x:c>
      <x:c r="B25" s="44" t="str">
        <x:v>KG07</x:v>
      </x:c>
      <x:c r="C25" s="44" t="str">
        <x:v>Truyền thông trên hệ sinh thái Báo Lao Động</x:v>
      </x:c>
      <x:c r="D25" s="44" t="str">
        <x:v>Bài PR/Advertorial trên Laodong.vn</x:v>
      </x:c>
      <x:c r="E25" s="44" t="str">
        <x:v>01 bài nội dung thương mại/PR được xuất bản theo quy định của Báo.</x:v>
      </x:c>
      <x:c r="F25" s="44" t="str">
        <x:v>Bài</x:v>
      </x:c>
      <x:c r="G25" s="44" t="n">
        <x:v>18</x:v>
      </x:c>
      <x:c r="H25" s="74"/>
      <x:c r="I25" s="44" t="n">
        <x:f>IF(H25&gt;0,H25,G25)</x:f>
        <x:v>18</x:v>
      </x:c>
      <x:c r="J25" s="74" t="n">
        <x:v>0</x:v>
      </x:c>
      <x:c r="K25" s="44" t="n">
        <x:f>SUMIF('05_Phan_bo_thuc_te'!$C$5:$C$204,A25,'05_Phan_bo_thuc_te'!$D$5:$D$204)</x:f>
        <x:v>0</x:v>
      </x:c>
      <x:c r="L25" s="44" t="n">
        <x:f>I25-J25-K25</x:f>
        <x:v>18</x:v>
      </x:c>
      <x:c r="M25" s="44" t="str">
        <x:f>IF(L25&lt;0,"VƯỢT CAP",IF(L25=0,"HẾT","CÒN"))</x:f>
        <x:v>CÒN</x:v>
      </x:c>
      <x:c r="N25" s="44" t="str">
        <x:v>Dedicated</x:v>
      </x:c>
      <x:c r="O25" s="44" t="str">
        <x:v>Lõi</x:v>
      </x:c>
      <x:c r="P25" s="44" t="str">
        <x:v>Media</x:v>
      </x:c>
      <x:c r="Q25" s="44" t="str">
        <x:v>Link bài</x:v>
      </x:c>
      <x:c r="R25" s="44" t="str">
        <x:v>Không đồng nhất với tin/bài biên tập độc lập; lịch đăng theo kế hoạch media.</x:v>
      </x:c>
      <x:c r="S25" s="74"/>
      <x:c r="T25" s="50" t="str">
        <x:v>Đổi lịch hoặc định dạng nội dung thương mại tương đương</x:v>
      </x:c>
    </x:row>
    <x:row r="26">
      <x:c r="A26" s="49" t="str">
        <x:v>A22</x:v>
      </x:c>
      <x:c r="B26" s="44" t="str">
        <x:v>KG07</x:v>
      </x:c>
      <x:c r="C26" s="44" t="str">
        <x:v>Truyền thông trên hệ sinh thái Báo Lao Động</x:v>
      </x:c>
      <x:c r="D26" s="44" t="str">
        <x:v>Banner quảng cáo riêng của Nhà tài trợ trên Laodong.vn</x:v>
      </x:c>
      <x:c r="E26" s="44" t="str">
        <x:v>Banner creative riêng quảng bá thương hiệu/sản phẩm/dịch vụ của NTT; chỉ áp dụng từ gói Bạch kim 300 triệu trở lên.</x:v>
      </x:c>
      <x:c r="F26" s="44" t="str">
        <x:v>Vị trí-tuần</x:v>
      </x:c>
      <x:c r="G26" s="44" t="n">
        <x:v>10</x:v>
      </x:c>
      <x:c r="H26" s="74"/>
      <x:c r="I26" s="44" t="n">
        <x:f>IF(H26&gt;0,H26,G26)</x:f>
        <x:v>10</x:v>
      </x:c>
      <x:c r="J26" s="74" t="n">
        <x:v>0</x:v>
      </x:c>
      <x:c r="K26" s="44" t="n">
        <x:f>SUMIF('05_Phan_bo_thuc_te'!$C$5:$C$204,A26,'05_Phan_bo_thuc_te'!$D$5:$D$204)</x:f>
        <x:v>0</x:v>
      </x:c>
      <x:c r="L26" s="44" t="n">
        <x:f>I26-J26-K26</x:f>
        <x:v>10</x:v>
      </x:c>
      <x:c r="M26" s="44" t="str">
        <x:f>IF(L26&lt;0,"VƯỢT CAP",IF(L26=0,"HẾT","CÒN"))</x:f>
        <x:v>CÒN</x:v>
      </x:c>
      <x:c r="N26" s="44" t="str">
        <x:v>Dedicated</x:v>
      </x:c>
      <x:c r="O26" s="44" t="str">
        <x:v>Lõi</x:v>
      </x:c>
      <x:c r="P26" s="44" t="str">
        <x:v>Media/AdOps</x:v>
      </x:c>
      <x:c r="Q26" s="44" t="str">
        <x:v>Ảnh chụp + báo cáo/biên bản hiển thị</x:v>
      </x:c>
      <x:c r="R26" s="44" t="str">
        <x:v>External quy đổi: 300M = 07 ngày; 500M = 14 ngày; 1 tỷ = 28 ngày. Vị trí cụ thể theo inventory quảng cáo thực tế.</x:v>
      </x:c>
      <x:c r="S26" s="74"/>
      <x:c r="T26" s="50" t="str">
        <x:v>Đổi vị trí/tuần tương đương hoặc media unit khác</x:v>
      </x:c>
    </x:row>
    <x:row r="27">
      <x:c r="A27" s="49" t="str">
        <x:v>A23</x:v>
      </x:c>
      <x:c r="B27" s="44" t="str">
        <x:v>KG07</x:v>
      </x:c>
      <x:c r="C27" s="44" t="str">
        <x:v>Truyền thông trên hệ sinh thái Báo Lao Động</x:v>
      </x:c>
      <x:c r="D27" s="44" t="str">
        <x:v>Nội dung social riêng ghi nhận Nhà tài trợ</x:v>
      </x:c>
      <x:c r="E27" s="44" t="str">
        <x:v>01 nội dung social riêng/ghi nhận NTT theo kế hoạch của Báo.</x:v>
      </x:c>
      <x:c r="F27" s="44" t="str">
        <x:v>Post</x:v>
      </x:c>
      <x:c r="G27" s="44" t="n">
        <x:v>10</x:v>
      </x:c>
      <x:c r="H27" s="74"/>
      <x:c r="I27" s="44" t="n">
        <x:f>IF(H27&gt;0,H27,G27)</x:f>
        <x:v>10</x:v>
      </x:c>
      <x:c r="J27" s="74" t="n">
        <x:v>0</x:v>
      </x:c>
      <x:c r="K27" s="44" t="n">
        <x:f>SUMIF('05_Phan_bo_thuc_te'!$C$5:$C$204,A27,'05_Phan_bo_thuc_te'!$D$5:$D$204)</x:f>
        <x:v>0</x:v>
      </x:c>
      <x:c r="L27" s="44" t="n">
        <x:f>I27-J27-K27</x:f>
        <x:v>10</x:v>
      </x:c>
      <x:c r="M27" s="44" t="str">
        <x:f>IF(L27&lt;0,"VƯỢT CAP",IF(L27=0,"HẾT","CÒN"))</x:f>
        <x:v>CÒN</x:v>
      </x:c>
      <x:c r="N27" s="44" t="str">
        <x:v>Dedicated</x:v>
      </x:c>
      <x:c r="O27" s="44" t="str">
        <x:v>Lõi</x:v>
      </x:c>
      <x:c r="P27" s="44" t="str">
        <x:v>Social</x:v>
      </x:c>
      <x:c r="Q27" s="44" t="str">
        <x:v>Link/bản chụp bài đăng</x:v>
      </x:c>
      <x:c r="R27" s="44" t="str">
        <x:v>Nền tảng và lịch đăng do BTC/Media thống nhất.</x:v>
      </x:c>
      <x:c r="S27" s="74"/>
      <x:c r="T27" s="50" t="str">
        <x:v>Đổi lịch/nền tảng tương đương</x:v>
      </x:c>
    </x:row>
    <x:row r="28">
      <x:c r="A28" s="49" t="str">
        <x:v>A24</x:v>
      </x:c>
      <x:c r="B28" s="44" t="str">
        <x:v>KG07</x:v>
      </x:c>
      <x:c r="C28" s="44" t="str">
        <x:v>Truyền thông trên hệ sinh thái Báo Lao Động</x:v>
      </x:c>
      <x:c r="D28" s="44" t="str">
        <x:v>Logo trong video/clip recap chung</x:v>
      </x:c>
      <x:c r="E28" s="44" t="str">
        <x:v>Logo NTT trong cùng logobox/end-card của video hoặc clip recap chính thức; kích thước/thứ tự theo danh vị.</x:v>
      </x:c>
      <x:c r="F28" s="44" t="str">
        <x:v>NTT</x:v>
      </x:c>
      <x:c r="G28" s="44" t="n">
        <x:v>12</x:v>
      </x:c>
      <x:c r="H28" s="74"/>
      <x:c r="I28" s="44" t="n">
        <x:f>IF(H28&gt;0,H28,G28)</x:f>
        <x:v>12</x:v>
      </x:c>
      <x:c r="J28" s="74" t="n">
        <x:v>0</x:v>
      </x:c>
      <x:c r="K28" s="44" t="n">
        <x:f>SUMIF('05_Phan_bo_thuc_te'!$C$5:$C$204,A28,'05_Phan_bo_thuc_te'!$D$5:$D$204)</x:f>
        <x:v>0</x:v>
      </x:c>
      <x:c r="L28" s="44" t="n">
        <x:f>I28-J28-K28</x:f>
        <x:v>12</x:v>
      </x:c>
      <x:c r="M28" s="44" t="str">
        <x:f>IF(L28&lt;0,"VƯỢT CAP",IF(L28=0,"HẾT","CÒN"))</x:f>
        <x:v>CÒN</x:v>
      </x:c>
      <x:c r="N28" s="44" t="str">
        <x:v>Shared</x:v>
      </x:c>
      <x:c r="O28" s="44" t="str">
        <x:v>Lõi</x:v>
      </x:c>
      <x:c r="P28" s="44" t="str">
        <x:v>Video/Thiết kế</x:v>
      </x:c>
      <x:c r="Q28" s="44" t="str">
        <x:v>Link/file video</x:v>
      </x:c>
      <x:c r="R28" s="44" t="str">
        <x:v>Dùng chung logobox, không cam kết thời lượng riêng cho từng logo.</x:v>
      </x:c>
      <x:c r="S28" s="74"/>
      <x:c r="T28" s="50" t="str">
        <x:v>End-card/visual hậu sự kiện tương đương</x:v>
      </x:c>
    </x:row>
    <x:row r="29">
      <x:c r="A29" s="51" t="str">
        <x:v>A25</x:v>
      </x:c>
      <x:c r="B29" s="52" t="str">
        <x:v>KG07</x:v>
      </x:c>
      <x:c r="C29" s="52" t="str">
        <x:v>Truyền thông trên hệ sinh thái Báo Lao Động</x:v>
      </x:c>
      <x:c r="D29" s="52" t="str">
        <x:v>Bộ ảnh/video hậu sự kiện dành cho Nhà tài trợ</x:v>
      </x:c>
      <x:c r="E29" s="52" t="str">
        <x:v>Bộ tư liệu chọn lọc liên quan đến hoạt động/quyền lợi của NTT.</x:v>
      </x:c>
      <x:c r="F29" s="52" t="str">
        <x:v>Bộ</x:v>
      </x:c>
      <x:c r="G29" s="52" t="n">
        <x:v>8</x:v>
      </x:c>
      <x:c r="H29" s="76"/>
      <x:c r="I29" s="52" t="n">
        <x:f>IF(H29&gt;0,H29,G29)</x:f>
        <x:v>8</x:v>
      </x:c>
      <x:c r="J29" s="76" t="n">
        <x:v>0</x:v>
      </x:c>
      <x:c r="K29" s="52" t="n">
        <x:f>SUMIF('05_Phan_bo_thuc_te'!$C$5:$C$204,A29,'05_Phan_bo_thuc_te'!$D$5:$D$204)</x:f>
        <x:v>0</x:v>
      </x:c>
      <x:c r="L29" s="52" t="n">
        <x:f>I29-J29-K29</x:f>
        <x:v>8</x:v>
      </x:c>
      <x:c r="M29" s="52" t="str">
        <x:f>IF(L29&lt;0,"VƯỢT CAP",IF(L29=0,"HẾT","CÒN"))</x:f>
        <x:v>CÒN</x:v>
      </x:c>
      <x:c r="N29" s="52" t="str">
        <x:v>Dedicated</x:v>
      </x:c>
      <x:c r="O29" s="52" t="str">
        <x:v>Chuyên biệt</x:v>
      </x:c>
      <x:c r="P29" s="52" t="str">
        <x:v>Media/Event</x:v>
      </x:c>
      <x:c r="Q29" s="52" t="str">
        <x:v>Link thư mục bàn giao</x:v>
      </x:c>
      <x:c r="R29" s="52" t="str">
        <x:v>Không cam kết toàn bộ raw footage; phạm vi sử dụng theo thỏa thuận.</x:v>
      </x:c>
      <x:c r="S29" s="76"/>
      <x:c r="T29" s="53" t="str">
        <x:v>Bộ ảnh chọn lọc/clip recap chung</x:v>
      </x:c>
    </x:row>
  </x:sheetData>
  <x:mergeCells>
    <x:mergeCell ref="A1:T1"/>
    <x:mergeCell ref="A2:T2"/>
  </x:mergeCells>
  <x:conditionalFormatting sqref="M5:M29">
    <x:cfRule type="expression" dxfId="0" priority="1">
      <x:formula>M5="VƯỢT CAP"</x:formula>
    </x:cfRule>
    <x:cfRule type="expression" dxfId="1" priority="2">
      <x:formula>M5="HẾT"</x:formula>
    </x:cfRule>
    <x:cfRule type="expression" dxfId="2" priority="3">
      <x:formula>M5="CÒN"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2" hidden="0" customWidth="1"/>
    <x:col min="14" max="14" width="13" hidden="0" customWidth="1"/>
  </x:cols>
  <x:sheetData>
    <x:row r="1">
      <x:c r="A1" s="65" t="str">
        <x:v>MA TRẬN 06 GÓI – PHÂN BỔ QUYỀN LỢI/01 NHÀ TÀI TRỢ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>
      <x:c r="A2" s="78" t="str">
        <x:v>Dòng Max NTT dùng để kiểm tra tổng tiêu hao kho. Các quyền lợi logobox là dùng chung; kích thước/thứ tự logo phân cấp theo danh vị, không tách banner quảng bá giải riêng theo NTT.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4">
      <x:c r="A4" s="46" t="str">
        <x:v>Mã asset</x:v>
      </x:c>
      <x:c r="B4" s="47" t="str">
        <x:v>Không gian</x:v>
      </x:c>
      <x:c r="C4" s="47" t="str">
        <x:v>Quyền lợi</x:v>
      </x:c>
      <x:c r="D4" s="47" t="str">
        <x:v>Đơn vị</x:v>
      </x:c>
      <x:c r="E4" s="47" t="str">
        <x:v>Cap áp dụng</x:v>
      </x:c>
      <x:c r="F4" s="47" t="str">
        <x:v>ĐỒNG HÀNH</x:v>
      </x:c>
      <x:c r="G4" s="47" t="str">
        <x:v>BẠC</x:v>
      </x:c>
      <x:c r="H4" s="47" t="str">
        <x:v>VÀNG</x:v>
      </x:c>
      <x:c r="I4" s="47" t="str">
        <x:v>BẠCH KIM</x:v>
      </x:c>
      <x:c r="J4" s="47" t="str">
        <x:v>KIM CƯƠNG</x:v>
      </x:c>
      <x:c r="K4" s="47" t="str">
        <x:v>NHÀ TÀI TRỢ CHÍNH</x:v>
      </x:c>
      <x:c r="L4" s="47" t="str">
        <x:v>Tổng dùng nếu bán đủ</x:v>
      </x:c>
      <x:c r="M4" s="47" t="str">
        <x:v>Còn lại</x:v>
      </x:c>
      <x:c r="N4" s="48" t="str">
        <x:v>Trạng thái</x:v>
      </x:c>
    </x:row>
    <x:row r="5">
      <x:c r="A5" s="49"/>
      <x:c r="B5" s="44"/>
      <x:c r="C5" s="44"/>
      <x:c r="D5" s="44" t="str">
        <x:v>Max NTT</x:v>
      </x:c>
      <x:c r="E5" s="44"/>
      <x:c r="F5" s="74" t="n">
        <x:v>3</x:v>
      </x:c>
      <x:c r="G5" s="74" t="n">
        <x:v>3</x:v>
      </x:c>
      <x:c r="H5" s="74" t="n">
        <x:v>2</x:v>
      </x:c>
      <x:c r="I5" s="74" t="n">
        <x:v>2</x:v>
      </x:c>
      <x:c r="J5" s="74" t="n">
        <x:v>1</x:v>
      </x:c>
      <x:c r="K5" s="74" t="n">
        <x:v>1</x:v>
      </x:c>
      <x:c r="L5" s="44"/>
      <x:c r="M5" s="44"/>
      <x:c r="N5" s="50"/>
    </x:row>
    <x:row r="6">
      <x:c r="A6" s="49" t="str">
        <x:v>A01</x:v>
      </x:c>
      <x:c r="B6" s="44" t="str">
        <x:v>Nhận diện chung toàn giải</x:v>
      </x:c>
      <x:c r="C6" s="44" t="str">
        <x:v>Logobox NTT trên banner/visual quảng bá giải</x:v>
      </x:c>
      <x:c r="D6" s="44" t="str">
        <x:v>NTT</x:v>
      </x:c>
      <x:c r="E6" s="44" t="n">
        <x:f>'02_Asset_Master'!I5</x:f>
        <x:v>12</x:v>
      </x:c>
      <x:c r="F6" s="44" t="n">
        <x:v>1</x:v>
      </x:c>
      <x:c r="G6" s="44" t="n">
        <x:v>1</x:v>
      </x:c>
      <x:c r="H6" s="44" t="n">
        <x:v>1</x:v>
      </x:c>
      <x:c r="I6" s="44" t="n">
        <x:v>1</x:v>
      </x:c>
      <x:c r="J6" s="44" t="n">
        <x:v>1</x:v>
      </x:c>
      <x:c r="K6" s="44" t="n">
        <x:v>1</x:v>
      </x:c>
      <x:c r="L6" s="44" t="n">
        <x:f>F6*$F$5+G6*$G$5+H6*$H$5+I6*$I$5+J6*$J$5+K6*$K$5</x:f>
        <x:v>12</x:v>
      </x:c>
      <x:c r="M6" s="44" t="n">
        <x:f>E6-L6</x:f>
        <x:v>0</x:v>
      </x:c>
      <x:c r="N6" s="50" t="str">
        <x:f>IF(M6&lt;0,"VƯỢT CAP",IF(M6=0,"HẾT","OK"))</x:f>
        <x:v>HẾT</x:v>
      </x:c>
    </x:row>
    <x:row r="7">
      <x:c r="A7" s="49" t="str">
        <x:v>A02</x:v>
      </x:c>
      <x:c r="B7" s="44" t="str">
        <x:v>Nhận diện chung toàn giải</x:v>
      </x:c>
      <x:c r="C7" s="44" t="str">
        <x:v>Logo trên backdrop/LED nhận diện chung</x:v>
      </x:c>
      <x:c r="D7" s="44" t="str">
        <x:v>NTT</x:v>
      </x:c>
      <x:c r="E7" s="44" t="n">
        <x:f>'02_Asset_Master'!I6</x:f>
        <x:v>12</x:v>
      </x:c>
      <x:c r="F7" s="44" t="n">
        <x:v>1</x:v>
      </x:c>
      <x:c r="G7" s="44" t="n">
        <x:v>1</x:v>
      </x:c>
      <x:c r="H7" s="44" t="n">
        <x:v>1</x:v>
      </x:c>
      <x:c r="I7" s="44" t="n">
        <x:v>1</x:v>
      </x:c>
      <x:c r="J7" s="44" t="n">
        <x:v>1</x:v>
      </x:c>
      <x:c r="K7" s="44" t="n">
        <x:v>1</x:v>
      </x:c>
      <x:c r="L7" s="44" t="n">
        <x:f>F7*$F$5+G7*$G$5+H7*$H$5+I7*$I$5+J7*$J$5+K7*$K$5</x:f>
        <x:v>12</x:v>
      </x:c>
      <x:c r="M7" s="44" t="n">
        <x:f>E7-L7</x:f>
        <x:v>0</x:v>
      </x:c>
      <x:c r="N7" s="50" t="str">
        <x:f>IF(M7&lt;0,"VƯỢT CAP",IF(M7=0,"HẾT","OK"))</x:f>
        <x:v>HẾT</x:v>
      </x:c>
    </x:row>
    <x:row r="8">
      <x:c r="A8" s="49" t="str">
        <x:v>A03</x:v>
      </x:c>
      <x:c r="B8" s="44" t="str">
        <x:v>Nhận diện chung toàn giải</x:v>
      </x:c>
      <x:c r="C8" s="44" t="str">
        <x:v>Logo trên tài liệu/ấn phẩm tại sự kiện</x:v>
      </x:c>
      <x:c r="D8" s="44" t="str">
        <x:v>NTT</x:v>
      </x:c>
      <x:c r="E8" s="44" t="n">
        <x:f>'02_Asset_Master'!I7</x:f>
        <x:v>10</x:v>
      </x:c>
      <x:c r="F8" s="44" t="n">
        <x:v>0</x:v>
      </x:c>
      <x:c r="G8" s="44" t="n">
        <x:v>1</x:v>
      </x:c>
      <x:c r="H8" s="44" t="n">
        <x:v>1</x:v>
      </x:c>
      <x:c r="I8" s="44" t="n">
        <x:v>1</x:v>
      </x:c>
      <x:c r="J8" s="44" t="n">
        <x:v>1</x:v>
      </x:c>
      <x:c r="K8" s="44" t="n">
        <x:v>1</x:v>
      </x:c>
      <x:c r="L8" s="44" t="n">
        <x:f>F8*$F$5+G8*$G$5+H8*$H$5+I8*$I$5+J8*$J$5+K8*$K$5</x:f>
        <x:v>9</x:v>
      </x:c>
      <x:c r="M8" s="44" t="n">
        <x:f>E8-L8</x:f>
        <x:v>1</x:v>
      </x:c>
      <x:c r="N8" s="50" t="str">
        <x:f>IF(M8&lt;0,"VƯỢT CAP",IF(M8=0,"HẾT","OK"))</x:f>
        <x:v>OK</x:v>
      </x:c>
    </x:row>
    <x:row r="9">
      <x:c r="A9" s="49" t="str">
        <x:v>A04</x:v>
      </x:c>
      <x:c r="B9" s="44" t="str">
        <x:v>Check-in và đón khách</x:v>
      </x:c>
      <x:c r="C9" s="44" t="str">
        <x:v>Logo tại photo wall/check-in</x:v>
      </x:c>
      <x:c r="D9" s="44" t="str">
        <x:v>NTT</x:v>
      </x:c>
      <x:c r="E9" s="44" t="n">
        <x:f>'02_Asset_Master'!I8</x:f>
        <x:v>10</x:v>
      </x:c>
      <x:c r="F9" s="44" t="n">
        <x:v>0</x:v>
      </x:c>
      <x:c r="G9" s="44" t="n">
        <x:v>1</x:v>
      </x:c>
      <x:c r="H9" s="44" t="n">
        <x:v>1</x:v>
      </x:c>
      <x:c r="I9" s="44" t="n">
        <x:v>1</x:v>
      </x:c>
      <x:c r="J9" s="44" t="n">
        <x:v>1</x:v>
      </x:c>
      <x:c r="K9" s="44" t="n">
        <x:v>1</x:v>
      </x:c>
      <x:c r="L9" s="44" t="n">
        <x:f>F9*$F$5+G9*$G$5+H9*$H$5+I9*$I$5+J9*$J$5+K9*$K$5</x:f>
        <x:v>9</x:v>
      </x:c>
      <x:c r="M9" s="44" t="n">
        <x:f>E9-L9</x:f>
        <x:v>1</x:v>
      </x:c>
      <x:c r="N9" s="50" t="str">
        <x:f>IF(M9&lt;0,"VƯỢT CAP",IF(M9=0,"HẾT","OK"))</x:f>
        <x:v>OK</x:v>
      </x:c>
    </x:row>
    <x:row r="10">
      <x:c r="A10" s="49" t="str">
        <x:v>A05</x:v>
      </x:c>
      <x:c r="B10" s="44" t="str">
        <x:v>Check-in và đón khách</x:v>
      </x:c>
      <x:c r="C10" s="44" t="str">
        <x:v>Standee/biển thương hiệu riêng tại khu đón khách</x:v>
      </x:c>
      <x:c r="D10" s="44" t="str">
        <x:v>Vị trí</x:v>
      </x:c>
      <x:c r="E10" s="44" t="n">
        <x:f>'02_Asset_Master'!I9</x:f>
        <x:v>4</x:v>
      </x:c>
      <x:c r="F10" s="44" t="n">
        <x:v>0</x:v>
      </x:c>
      <x:c r="G10" s="44" t="n">
        <x:v>0</x:v>
      </x:c>
      <x:c r="H10" s="44" t="n">
        <x:v>0</x:v>
      </x:c>
      <x:c r="I10" s="44" t="n">
        <x:v>1</x:v>
      </x:c>
      <x:c r="J10" s="44" t="n">
        <x:v>1</x:v>
      </x:c>
      <x:c r="K10" s="44" t="n">
        <x:v>1</x:v>
      </x:c>
      <x:c r="L10" s="44" t="n">
        <x:f>F10*$F$5+G10*$G$5+H10*$H$5+I10*$I$5+J10*$J$5+K10*$K$5</x:f>
        <x:v>4</x:v>
      </x:c>
      <x:c r="M10" s="44" t="n">
        <x:f>E10-L10</x:f>
        <x:v>0</x:v>
      </x:c>
      <x:c r="N10" s="50" t="str">
        <x:f>IF(M10&lt;0,"VƯỢT CAP",IF(M10=0,"HẾT","OK"))</x:f>
        <x:v>HẾT</x:v>
      </x:c>
    </x:row>
    <x:row r="11">
      <x:c r="A11" s="49" t="str">
        <x:v>A06</x:v>
      </x:c>
      <x:c r="B11" s="44" t="str">
        <x:v>Sân golf và thi đấu</x:v>
      </x:c>
      <x:c r="C11" s="44" t="str">
        <x:v>Branding hố golf thường</x:v>
      </x:c>
      <x:c r="D11" s="44" t="str">
        <x:v>Hố</x:v>
      </x:c>
      <x:c r="E11" s="44" t="n">
        <x:f>'02_Asset_Master'!I10</x:f>
        <x:v>8</x:v>
      </x:c>
      <x:c r="F11" s="44" t="n">
        <x:v>0</x:v>
      </x:c>
      <x:c r="G11" s="44" t="n">
        <x:v>0</x:v>
      </x:c>
      <x:c r="H11" s="44" t="n">
        <x:v>1</x:v>
      </x:c>
      <x:c r="I11" s="44" t="n">
        <x:v>1</x:v>
      </x:c>
      <x:c r="J11" s="44" t="n">
        <x:v>1</x:v>
      </x:c>
      <x:c r="K11" s="44" t="n">
        <x:v>2</x:v>
      </x:c>
      <x:c r="L11" s="44" t="n">
        <x:f>F11*$F$5+G11*$G$5+H11*$H$5+I11*$I$5+J11*$J$5+K11*$K$5</x:f>
        <x:v>7</x:v>
      </x:c>
      <x:c r="M11" s="44" t="n">
        <x:f>E11-L11</x:f>
        <x:v>1</x:v>
      </x:c>
      <x:c r="N11" s="50" t="str">
        <x:f>IF(M11&lt;0,"VƯỢT CAP",IF(M11=0,"HẾT","OK"))</x:f>
        <x:v>OK</x:v>
      </x:c>
    </x:row>
    <x:row r="12">
      <x:c r="A12" s="49" t="str">
        <x:v>A07</x:v>
      </x:c>
      <x:c r="B12" s="44" t="str">
        <x:v>Sân golf và thi đấu</x:v>
      </x:c>
      <x:c r="C12" s="44" t="str">
        <x:v>Tài trợ Hole-in-One</x:v>
      </x:c>
      <x:c r="D12" s="44" t="str">
        <x:v>Hố HIO</x:v>
      </x:c>
      <x:c r="E12" s="44" t="n">
        <x:f>'02_Asset_Master'!I11</x:f>
        <x:v>2</x:v>
      </x:c>
      <x:c r="F12" s="44" t="n">
        <x:v>0</x:v>
      </x:c>
      <x:c r="G12" s="44" t="n">
        <x:v>0</x:v>
      </x:c>
      <x:c r="H12" s="44" t="n">
        <x:v>0</x:v>
      </x:c>
      <x:c r="I12" s="44" t="n">
        <x:v>0</x:v>
      </x:c>
      <x:c r="J12" s="44" t="n">
        <x:v>0</x:v>
      </x:c>
      <x:c r="K12" s="44" t="n">
        <x:v>0</x:v>
      </x:c>
      <x:c r="L12" s="44" t="n">
        <x:f>F12*$F$5+G12*$G$5+H12*$H$5+I12*$I$5+J12*$J$5+K12*$K$5</x:f>
        <x:v>0</x:v>
      </x:c>
      <x:c r="M12" s="44" t="n">
        <x:f>E12-L12</x:f>
        <x:v>2</x:v>
      </x:c>
      <x:c r="N12" s="50" t="str">
        <x:f>IF(M12&lt;0,"VƯỢT CAP",IF(M12=0,"HẾT","OK"))</x:f>
        <x:v>OK</x:v>
      </x:c>
    </x:row>
    <x:row r="13">
      <x:c r="A13" s="49" t="str">
        <x:v>A08</x:v>
      </x:c>
      <x:c r="B13" s="44" t="str">
        <x:v>Sân golf và thi đấu</x:v>
      </x:c>
      <x:c r="C13" s="44" t="str">
        <x:v>Tài trợ giải kỹ thuật</x:v>
      </x:c>
      <x:c r="D13" s="44" t="str">
        <x:v>Giải</x:v>
      </x:c>
      <x:c r="E13" s="44" t="n">
        <x:f>'02_Asset_Master'!I12</x:f>
        <x:v>4</x:v>
      </x:c>
      <x:c r="F13" s="44" t="n">
        <x:v>0</x:v>
      </x:c>
      <x:c r="G13" s="44" t="n">
        <x:v>0</x:v>
      </x:c>
      <x:c r="H13" s="44" t="n">
        <x:v>0</x:v>
      </x:c>
      <x:c r="I13" s="44" t="n">
        <x:v>0</x:v>
      </x:c>
      <x:c r="J13" s="44" t="n">
        <x:v>0</x:v>
      </x:c>
      <x:c r="K13" s="44" t="n">
        <x:v>0</x:v>
      </x:c>
      <x:c r="L13" s="44" t="n">
        <x:f>F13*$F$5+G13*$G$5+H13*$H$5+I13*$I$5+J13*$J$5+K13*$K$5</x:f>
        <x:v>0</x:v>
      </x:c>
      <x:c r="M13" s="44" t="n">
        <x:f>E13-L13</x:f>
        <x:v>4</x:v>
      </x:c>
      <x:c r="N13" s="50" t="str">
        <x:f>IF(M13&lt;0,"VƯỢT CAP",IF(M13=0,"HẾT","OK"))</x:f>
        <x:v>OK</x:v>
      </x:c>
    </x:row>
    <x:row r="14">
      <x:c r="A14" s="49" t="str">
        <x:v>A09</x:v>
      </x:c>
      <x:c r="B14" s="44" t="str">
        <x:v>Golfer và Networking</x:v>
      </x:c>
      <x:c r="C14" s="44" t="str">
        <x:v>Suất golfer</x:v>
      </x:c>
      <x:c r="D14" s="44" t="str">
        <x:v>Golfer</x:v>
      </x:c>
      <x:c r="E14" s="44" t="n">
        <x:f>'02_Asset_Master'!I13</x:f>
        <x:v>32</x:v>
      </x:c>
      <x:c r="F14" s="44" t="n">
        <x:v>0</x:v>
      </x:c>
      <x:c r="G14" s="44" t="n">
        <x:v>1</x:v>
      </x:c>
      <x:c r="H14" s="44" t="n">
        <x:v>2</x:v>
      </x:c>
      <x:c r="I14" s="44" t="n">
        <x:v>4</x:v>
      </x:c>
      <x:c r="J14" s="44" t="n">
        <x:v>8</x:v>
      </x:c>
      <x:c r="K14" s="44" t="n">
        <x:v>8</x:v>
      </x:c>
      <x:c r="L14" s="44" t="n">
        <x:f>F14*$F$5+G14*$G$5+H14*$H$5+I14*$I$5+J14*$J$5+K14*$K$5</x:f>
        <x:v>31</x:v>
      </x:c>
      <x:c r="M14" s="44" t="n">
        <x:f>E14-L14</x:f>
        <x:v>1</x:v>
      </x:c>
      <x:c r="N14" s="50" t="str">
        <x:f>IF(M14&lt;0,"VƯỢT CAP",IF(M14=0,"HẾT","OK"))</x:f>
        <x:v>OK</x:v>
      </x:c>
    </x:row>
    <x:row r="15">
      <x:c r="A15" s="49" t="str">
        <x:v>A10</x:v>
      </x:c>
      <x:c r="B15" s="44" t="str">
        <x:v>Golfer và Networking</x:v>
      </x:c>
      <x:c r="C15" s="44" t="str">
        <x:v>Suất Gala Dinner/Lễ trao giải</x:v>
      </x:c>
      <x:c r="D15" s="44" t="str">
        <x:v>Khách</x:v>
      </x:c>
      <x:c r="E15" s="44" t="n">
        <x:f>'02_Asset_Master'!I14</x:f>
        <x:v>60</x:v>
      </x:c>
      <x:c r="F15" s="44" t="n">
        <x:v>2</x:v>
      </x:c>
      <x:c r="G15" s="44" t="n">
        <x:v>2</x:v>
      </x:c>
      <x:c r="H15" s="44" t="n">
        <x:v>4</x:v>
      </x:c>
      <x:c r="I15" s="44" t="n">
        <x:v>4</x:v>
      </x:c>
      <x:c r="J15" s="44" t="n">
        <x:v>8</x:v>
      </x:c>
      <x:c r="K15" s="44" t="n">
        <x:v>10</x:v>
      </x:c>
      <x:c r="L15" s="44" t="n">
        <x:f>F15*$F$5+G15*$G$5+H15*$H$5+I15*$I$5+J15*$J$5+K15*$K$5</x:f>
        <x:v>46</x:v>
      </x:c>
      <x:c r="M15" s="44" t="n">
        <x:f>E15-L15</x:f>
        <x:v>14</x:v>
      </x:c>
      <x:c r="N15" s="50" t="str">
        <x:f>IF(M15&lt;0,"VƯỢT CAP",IF(M15=0,"HẾT","OK"))</x:f>
        <x:v>OK</x:v>
      </x:c>
    </x:row>
    <x:row r="16">
      <x:c r="A16" s="49" t="str">
        <x:v>A11</x:v>
      </x:c>
      <x:c r="B16" s="44" t="str">
        <x:v>Activation và trưng bày thương hiệu</x:v>
      </x:c>
      <x:c r="C16" s="44" t="str">
        <x:v>Booth/điểm activation riêng</x:v>
      </x:c>
      <x:c r="D16" s="44" t="str">
        <x:v>Vị trí</x:v>
      </x:c>
      <x:c r="E16" s="44" t="n">
        <x:f>'02_Asset_Master'!I15</x:f>
        <x:v>4</x:v>
      </x:c>
      <x:c r="F16" s="44" t="n">
        <x:v>0</x:v>
      </x:c>
      <x:c r="G16" s="44" t="n">
        <x:v>0</x:v>
      </x:c>
      <x:c r="H16" s="44" t="n">
        <x:v>0</x:v>
      </x:c>
      <x:c r="I16" s="44" t="n">
        <x:v>1</x:v>
      </x:c>
      <x:c r="J16" s="44" t="n">
        <x:v>1</x:v>
      </x:c>
      <x:c r="K16" s="44" t="n">
        <x:v>1</x:v>
      </x:c>
      <x:c r="L16" s="44" t="n">
        <x:f>F16*$F$5+G16*$G$5+H16*$H$5+I16*$I$5+J16*$J$5+K16*$K$5</x:f>
        <x:v>4</x:v>
      </x:c>
      <x:c r="M16" s="44" t="n">
        <x:f>E16-L16</x:f>
        <x:v>0</x:v>
      </x:c>
      <x:c r="N16" s="50" t="str">
        <x:f>IF(M16&lt;0,"VƯỢT CAP",IF(M16=0,"HẾT","OK"))</x:f>
        <x:v>HẾT</x:v>
      </x:c>
    </x:row>
    <x:row r="17">
      <x:c r="A17" s="49" t="str">
        <x:v>A12</x:v>
      </x:c>
      <x:c r="B17" s="44" t="str">
        <x:v>Activation và trưng bày thương hiệu</x:v>
      </x:c>
      <x:c r="C17" s="44" t="str">
        <x:v>Vị trí trưng bày xe/sản phẩm kích thước lớn</x:v>
      </x:c>
      <x:c r="D17" s="44" t="str">
        <x:v>Vị trí</x:v>
      </x:c>
      <x:c r="E17" s="44" t="n">
        <x:f>'02_Asset_Master'!I16</x:f>
        <x:v>2</x:v>
      </x:c>
      <x:c r="F17" s="44" t="n">
        <x:v>0</x:v>
      </x:c>
      <x:c r="G17" s="44" t="n">
        <x:v>0</x:v>
      </x:c>
      <x:c r="H17" s="44" t="n">
        <x:v>0</x:v>
      </x:c>
      <x:c r="I17" s="44" t="n">
        <x:v>0</x:v>
      </x:c>
      <x:c r="J17" s="44" t="n">
        <x:v>1</x:v>
      </x:c>
      <x:c r="K17" s="44" t="n">
        <x:v>1</x:v>
      </x:c>
      <x:c r="L17" s="44" t="n">
        <x:f>F17*$F$5+G17*$G$5+H17*$H$5+I17*$I$5+J17*$J$5+K17*$K$5</x:f>
        <x:v>2</x:v>
      </x:c>
      <x:c r="M17" s="44" t="n">
        <x:f>E17-L17</x:f>
        <x:v>0</x:v>
      </x:c>
      <x:c r="N17" s="50" t="str">
        <x:f>IF(M17&lt;0,"VƯỢT CAP",IF(M17=0,"HẾT","OK"))</x:f>
        <x:v>HẾT</x:v>
      </x:c>
    </x:row>
    <x:row r="18">
      <x:c r="A18" s="49" t="str">
        <x:v>A13</x:v>
      </x:c>
      <x:c r="B18" s="44" t="str">
        <x:v>Activation và trưng bày thương hiệu</x:v>
      </x:c>
      <x:c r="C18" s="44" t="str">
        <x:v>Sản phẩm/voucher trong gift bag</x:v>
      </x:c>
      <x:c r="D18" s="44" t="str">
        <x:v>Nhãn hàng</x:v>
      </x:c>
      <x:c r="E18" s="44" t="n">
        <x:f>'02_Asset_Master'!I17</x:f>
        <x:v>8</x:v>
      </x:c>
      <x:c r="F18" s="44" t="n">
        <x:v>0</x:v>
      </x:c>
      <x:c r="G18" s="44" t="n">
        <x:v>0</x:v>
      </x:c>
      <x:c r="H18" s="44" t="n">
        <x:v>1</x:v>
      </x:c>
      <x:c r="I18" s="44" t="n">
        <x:v>1</x:v>
      </x:c>
      <x:c r="J18" s="44" t="n">
        <x:v>1</x:v>
      </x:c>
      <x:c r="K18" s="44" t="n">
        <x:v>1</x:v>
      </x:c>
      <x:c r="L18" s="44" t="n">
        <x:f>F18*$F$5+G18*$G$5+H18*$H$5+I18*$I$5+J18*$J$5+K18*$K$5</x:f>
        <x:v>6</x:v>
      </x:c>
      <x:c r="M18" s="44" t="n">
        <x:f>E18-L18</x:f>
        <x:v>2</x:v>
      </x:c>
      <x:c r="N18" s="50" t="str">
        <x:f>IF(M18&lt;0,"VƯỢT CAP",IF(M18=0,"HẾT","OK"))</x:f>
        <x:v>OK</x:v>
      </x:c>
    </x:row>
    <x:row r="19">
      <x:c r="A19" s="49" t="str">
        <x:v>A14</x:v>
      </x:c>
      <x:c r="B19" s="44" t="str">
        <x:v>Activation và trưng bày thương hiệu</x:v>
      </x:c>
      <x:c r="C19" s="44" t="str">
        <x:v>Sampling/trải nghiệm sản phẩm</x:v>
      </x:c>
      <x:c r="D19" s="44" t="str">
        <x:v>Hoạt động</x:v>
      </x:c>
      <x:c r="E19" s="44" t="n">
        <x:f>'02_Asset_Master'!I18</x:f>
        <x:v>3</x:v>
      </x:c>
      <x:c r="F19" s="44" t="n">
        <x:v>0</x:v>
      </x:c>
      <x:c r="G19" s="44" t="n">
        <x:v>0</x:v>
      </x:c>
      <x:c r="H19" s="44" t="n">
        <x:v>0</x:v>
      </x:c>
      <x:c r="I19" s="44" t="n">
        <x:v>0</x:v>
      </x:c>
      <x:c r="J19" s="44" t="n">
        <x:v>1</x:v>
      </x:c>
      <x:c r="K19" s="44" t="n">
        <x:v>1</x:v>
      </x:c>
      <x:c r="L19" s="44" t="n">
        <x:f>F19*$F$5+G19*$G$5+H19*$H$5+I19*$I$5+J19*$J$5+K19*$K$5</x:f>
        <x:v>2</x:v>
      </x:c>
      <x:c r="M19" s="44" t="n">
        <x:f>E19-L19</x:f>
        <x:v>1</x:v>
      </x:c>
      <x:c r="N19" s="50" t="str">
        <x:f>IF(M19&lt;0,"VƯỢT CAP",IF(M19=0,"HẾT","OK"))</x:f>
        <x:v>OK</x:v>
      </x:c>
    </x:row>
    <x:row r="20">
      <x:c r="A20" s="49" t="str">
        <x:v>A15</x:v>
      </x:c>
      <x:c r="B20" s="44" t="str">
        <x:v>Gala Dinner và Lễ trao giải</x:v>
      </x:c>
      <x:c r="C20" s="44" t="str">
        <x:v>Logo trên LED/backdrop Gala</x:v>
      </x:c>
      <x:c r="D20" s="44" t="str">
        <x:v>NTT</x:v>
      </x:c>
      <x:c r="E20" s="44" t="n">
        <x:f>'02_Asset_Master'!I19</x:f>
        <x:v>12</x:v>
      </x:c>
      <x:c r="F20" s="44" t="n">
        <x:v>1</x:v>
      </x:c>
      <x:c r="G20" s="44" t="n">
        <x:v>1</x:v>
      </x:c>
      <x:c r="H20" s="44" t="n">
        <x:v>1</x:v>
      </x:c>
      <x:c r="I20" s="44" t="n">
        <x:v>1</x:v>
      </x:c>
      <x:c r="J20" s="44" t="n">
        <x:v>1</x:v>
      </x:c>
      <x:c r="K20" s="44" t="n">
        <x:v>1</x:v>
      </x:c>
      <x:c r="L20" s="44" t="n">
        <x:f>F20*$F$5+G20*$G$5+H20*$H$5+I20*$I$5+J20*$J$5+K20*$K$5</x:f>
        <x:v>12</x:v>
      </x:c>
      <x:c r="M20" s="44" t="n">
        <x:f>E20-L20</x:f>
        <x:v>0</x:v>
      </x:c>
      <x:c r="N20" s="50" t="str">
        <x:f>IF(M20&lt;0,"VƯỢT CAP",IF(M20=0,"HẾT","OK"))</x:f>
        <x:v>HẾT</x:v>
      </x:c>
    </x:row>
    <x:row r="21">
      <x:c r="A21" s="49" t="str">
        <x:v>A16</x:v>
      </x:c>
      <x:c r="B21" s="44" t="str">
        <x:v>Gala Dinner và Lễ trao giải</x:v>
      </x:c>
      <x:c r="C21" s="44" t="str">
        <x:v>MC ghi nhận/cảm ơn Nhà tài trợ</x:v>
      </x:c>
      <x:c r="D21" s="44" t="str">
        <x:v>NTT</x:v>
      </x:c>
      <x:c r="E21" s="44" t="n">
        <x:f>'02_Asset_Master'!I20</x:f>
        <x:v>12</x:v>
      </x:c>
      <x:c r="F21" s="44" t="n">
        <x:v>1</x:v>
      </x:c>
      <x:c r="G21" s="44" t="n">
        <x:v>1</x:v>
      </x:c>
      <x:c r="H21" s="44" t="n">
        <x:v>1</x:v>
      </x:c>
      <x:c r="I21" s="44" t="n">
        <x:v>1</x:v>
      </x:c>
      <x:c r="J21" s="44" t="n">
        <x:v>1</x:v>
      </x:c>
      <x:c r="K21" s="44" t="n">
        <x:v>1</x:v>
      </x:c>
      <x:c r="L21" s="44" t="n">
        <x:f>F21*$F$5+G21*$G$5+H21*$H$5+I21*$I$5+J21*$J$5+K21*$K$5</x:f>
        <x:v>12</x:v>
      </x:c>
      <x:c r="M21" s="44" t="n">
        <x:f>E21-L21</x:f>
        <x:v>0</x:v>
      </x:c>
      <x:c r="N21" s="50" t="str">
        <x:f>IF(M21&lt;0,"VƯỢT CAP",IF(M21=0,"HẾT","OK"))</x:f>
        <x:v>HẾT</x:v>
      </x:c>
    </x:row>
    <x:row r="22">
      <x:c r="A22" s="49" t="str">
        <x:v>A17</x:v>
      </x:c>
      <x:c r="B22" s="44" t="str">
        <x:v>Gala Dinner và Lễ trao giải</x:v>
      </x:c>
      <x:c r="C22" s="44" t="str">
        <x:v>Đại diện Nhà tài trợ trao giải</x:v>
      </x:c>
      <x:c r="D22" s="44" t="str">
        <x:v>Slot</x:v>
      </x:c>
      <x:c r="E22" s="44" t="n">
        <x:f>'02_Asset_Master'!I21</x:f>
        <x:v>6</x:v>
      </x:c>
      <x:c r="F22" s="44" t="n">
        <x:v>0</x:v>
      </x:c>
      <x:c r="G22" s="44" t="n">
        <x:v>0</x:v>
      </x:c>
      <x:c r="H22" s="44" t="n">
        <x:v>1</x:v>
      </x:c>
      <x:c r="I22" s="44" t="n">
        <x:v>1</x:v>
      </x:c>
      <x:c r="J22" s="44" t="n">
        <x:v>1</x:v>
      </x:c>
      <x:c r="K22" s="44" t="n">
        <x:v>1</x:v>
      </x:c>
      <x:c r="L22" s="44" t="n">
        <x:f>F22*$F$5+G22*$G$5+H22*$H$5+I22*$I$5+J22*$J$5+K22*$K$5</x:f>
        <x:v>6</x:v>
      </x:c>
      <x:c r="M22" s="44" t="n">
        <x:f>E22-L22</x:f>
        <x:v>0</x:v>
      </x:c>
      <x:c r="N22" s="50" t="str">
        <x:f>IF(M22&lt;0,"VƯỢT CAP",IF(M22=0,"HẾT","OK"))</x:f>
        <x:v>HẾT</x:v>
      </x:c>
    </x:row>
    <x:row r="23">
      <x:c r="A23" s="49" t="str">
        <x:v>A18</x:v>
      </x:c>
      <x:c r="B23" s="44" t="str">
        <x:v>Gala Dinner và Lễ trao giải</x:v>
      </x:c>
      <x:c r="C23" s="44" t="str">
        <x:v>Phát biểu tại Gala</x:v>
      </x:c>
      <x:c r="D23" s="44" t="str">
        <x:v>Slot</x:v>
      </x:c>
      <x:c r="E23" s="44" t="n">
        <x:f>'02_Asset_Master'!I22</x:f>
        <x:v>1</x:v>
      </x:c>
      <x:c r="F23" s="44" t="n">
        <x:v>0</x:v>
      </x:c>
      <x:c r="G23" s="44" t="n">
        <x:v>0</x:v>
      </x:c>
      <x:c r="H23" s="44" t="n">
        <x:v>0</x:v>
      </x:c>
      <x:c r="I23" s="44" t="n">
        <x:v>0</x:v>
      </x:c>
      <x:c r="J23" s="44" t="n">
        <x:v>0</x:v>
      </x:c>
      <x:c r="K23" s="44" t="n">
        <x:v>1</x:v>
      </x:c>
      <x:c r="L23" s="44" t="n">
        <x:f>F23*$F$5+G23*$G$5+H23*$H$5+I23*$I$5+J23*$J$5+K23*$K$5</x:f>
        <x:v>1</x:v>
      </x:c>
      <x:c r="M23" s="44" t="n">
        <x:f>E23-L23</x:f>
        <x:v>0</x:v>
      </x:c>
      <x:c r="N23" s="50" t="str">
        <x:f>IF(M23&lt;0,"VƯỢT CAP",IF(M23=0,"HẾT","OK"))</x:f>
        <x:v>HẾT</x:v>
      </x:c>
    </x:row>
    <x:row r="24">
      <x:c r="A24" s="49" t="str">
        <x:v>A19</x:v>
      </x:c>
      <x:c r="B24" s="44" t="str">
        <x:v>Gala Dinner và Lễ trao giải</x:v>
      </x:c>
      <x:c r="C24" s="44" t="str">
        <x:v>TVC/video thương hiệu trên màn hình Gala</x:v>
      </x:c>
      <x:c r="D24" s="44" t="str">
        <x:v>Slot</x:v>
      </x:c>
      <x:c r="E24" s="44" t="n">
        <x:f>'02_Asset_Master'!I23</x:f>
        <x:v>4</x:v>
      </x:c>
      <x:c r="F24" s="44" t="n">
        <x:v>0</x:v>
      </x:c>
      <x:c r="G24" s="44" t="n">
        <x:v>0</x:v>
      </x:c>
      <x:c r="H24" s="44" t="n">
        <x:v>0</x:v>
      </x:c>
      <x:c r="I24" s="44" t="n">
        <x:v>1</x:v>
      </x:c>
      <x:c r="J24" s="44" t="n">
        <x:v>1</x:v>
      </x:c>
      <x:c r="K24" s="44" t="n">
        <x:v>1</x:v>
      </x:c>
      <x:c r="L24" s="44" t="n">
        <x:f>F24*$F$5+G24*$G$5+H24*$H$5+I24*$I$5+J24*$J$5+K24*$K$5</x:f>
        <x:v>4</x:v>
      </x:c>
      <x:c r="M24" s="44" t="n">
        <x:f>E24-L24</x:f>
        <x:v>0</x:v>
      </x:c>
      <x:c r="N24" s="50" t="str">
        <x:f>IF(M24&lt;0,"VƯỢT CAP",IF(M24=0,"HẾT","OK"))</x:f>
        <x:v>HẾT</x:v>
      </x:c>
    </x:row>
    <x:row r="25">
      <x:c r="A25" s="49" t="str">
        <x:v>A20</x:v>
      </x:c>
      <x:c r="B25" s="44" t="str">
        <x:v>Truyền thông trên hệ sinh thái Báo Lao Động</x:v>
      </x:c>
      <x:c r="C25" s="44" t="str">
        <x:v>Logobox NTT cuối tin/bài về giải</x:v>
      </x:c>
      <x:c r="D25" s="44" t="str">
        <x:v>NTT</x:v>
      </x:c>
      <x:c r="E25" s="44" t="n">
        <x:f>'02_Asset_Master'!I24</x:f>
        <x:v>12</x:v>
      </x:c>
      <x:c r="F25" s="44" t="n">
        <x:v>1</x:v>
      </x:c>
      <x:c r="G25" s="44" t="n">
        <x:v>1</x:v>
      </x:c>
      <x:c r="H25" s="44" t="n">
        <x:v>1</x:v>
      </x:c>
      <x:c r="I25" s="44" t="n">
        <x:v>1</x:v>
      </x:c>
      <x:c r="J25" s="44" t="n">
        <x:v>1</x:v>
      </x:c>
      <x:c r="K25" s="44" t="n">
        <x:v>1</x:v>
      </x:c>
      <x:c r="L25" s="44" t="n">
        <x:f>F25*$F$5+G25*$G$5+H25*$H$5+I25*$I$5+J25*$J$5+K25*$K$5</x:f>
        <x:v>12</x:v>
      </x:c>
      <x:c r="M25" s="44" t="n">
        <x:f>E25-L25</x:f>
        <x:v>0</x:v>
      </x:c>
      <x:c r="N25" s="50" t="str">
        <x:f>IF(M25&lt;0,"VƯỢT CAP",IF(M25=0,"HẾT","OK"))</x:f>
        <x:v>HẾT</x:v>
      </x:c>
    </x:row>
    <x:row r="26">
      <x:c r="A26" s="49" t="str">
        <x:v>A21</x:v>
      </x:c>
      <x:c r="B26" s="44" t="str">
        <x:v>Truyền thông trên hệ sinh thái Báo Lao Động</x:v>
      </x:c>
      <x:c r="C26" s="44" t="str">
        <x:v>Bài PR/Advertorial trên Laodong.vn</x:v>
      </x:c>
      <x:c r="D26" s="44" t="str">
        <x:v>Bài</x:v>
      </x:c>
      <x:c r="E26" s="44" t="n">
        <x:f>'02_Asset_Master'!I25</x:f>
        <x:v>18</x:v>
      </x:c>
      <x:c r="F26" s="44" t="n">
        <x:v>0</x:v>
      </x:c>
      <x:c r="G26" s="44" t="n">
        <x:v>1</x:v>
      </x:c>
      <x:c r="H26" s="44" t="n">
        <x:v>1</x:v>
      </x:c>
      <x:c r="I26" s="44" t="n">
        <x:v>2</x:v>
      </x:c>
      <x:c r="J26" s="44" t="n">
        <x:v>3</x:v>
      </x:c>
      <x:c r="K26" s="44" t="n">
        <x:v>5</x:v>
      </x:c>
      <x:c r="L26" s="44" t="n">
        <x:f>F26*$F$5+G26*$G$5+H26*$H$5+I26*$I$5+J26*$J$5+K26*$K$5</x:f>
        <x:v>17</x:v>
      </x:c>
      <x:c r="M26" s="44" t="n">
        <x:f>E26-L26</x:f>
        <x:v>1</x:v>
      </x:c>
      <x:c r="N26" s="50" t="str">
        <x:f>IF(M26&lt;0,"VƯỢT CAP",IF(M26=0,"HẾT","OK"))</x:f>
        <x:v>OK</x:v>
      </x:c>
    </x:row>
    <x:row r="27">
      <x:c r="A27" s="49" t="str">
        <x:v>A22</x:v>
      </x:c>
      <x:c r="B27" s="44" t="str">
        <x:v>Truyền thông trên hệ sinh thái Báo Lao Động</x:v>
      </x:c>
      <x:c r="C27" s="44" t="str">
        <x:v>Banner quảng cáo riêng của Nhà tài trợ trên Laodong.vn</x:v>
      </x:c>
      <x:c r="D27" s="44" t="str">
        <x:v>Vị trí-tuần</x:v>
      </x:c>
      <x:c r="E27" s="44" t="n">
        <x:f>'02_Asset_Master'!I26</x:f>
        <x:v>10</x:v>
      </x:c>
      <x:c r="F27" s="44" t="n">
        <x:v>0</x:v>
      </x:c>
      <x:c r="G27" s="44" t="n">
        <x:v>0</x:v>
      </x:c>
      <x:c r="H27" s="44" t="n">
        <x:v>0</x:v>
      </x:c>
      <x:c r="I27" s="44" t="n">
        <x:v>1</x:v>
      </x:c>
      <x:c r="J27" s="44" t="n">
        <x:v>2</x:v>
      </x:c>
      <x:c r="K27" s="44" t="n">
        <x:v>4</x:v>
      </x:c>
      <x:c r="L27" s="44" t="n">
        <x:f>F27*$F$5+G27*$G$5+H27*$H$5+I27*$I$5+J27*$J$5+K27*$K$5</x:f>
        <x:v>8</x:v>
      </x:c>
      <x:c r="M27" s="44" t="n">
        <x:f>E27-L27</x:f>
        <x:v>2</x:v>
      </x:c>
      <x:c r="N27" s="50" t="str">
        <x:f>IF(M27&lt;0,"VƯỢT CAP",IF(M27=0,"HẾT","OK"))</x:f>
        <x:v>OK</x:v>
      </x:c>
    </x:row>
    <x:row r="28">
      <x:c r="A28" s="49" t="str">
        <x:v>A23</x:v>
      </x:c>
      <x:c r="B28" s="44" t="str">
        <x:v>Truyền thông trên hệ sinh thái Báo Lao Động</x:v>
      </x:c>
      <x:c r="C28" s="44" t="str">
        <x:v>Nội dung social riêng ghi nhận Nhà tài trợ</x:v>
      </x:c>
      <x:c r="D28" s="44" t="str">
        <x:v>Post</x:v>
      </x:c>
      <x:c r="E28" s="44" t="n">
        <x:f>'02_Asset_Master'!I27</x:f>
        <x:v>10</x:v>
      </x:c>
      <x:c r="F28" s="44" t="n">
        <x:v>0</x:v>
      </x:c>
      <x:c r="G28" s="44" t="n">
        <x:v>0</x:v>
      </x:c>
      <x:c r="H28" s="44" t="n">
        <x:v>1</x:v>
      </x:c>
      <x:c r="I28" s="44" t="n">
        <x:v>1</x:v>
      </x:c>
      <x:c r="J28" s="44" t="n">
        <x:v>2</x:v>
      </x:c>
      <x:c r="K28" s="44" t="n">
        <x:v>3</x:v>
      </x:c>
      <x:c r="L28" s="44" t="n">
        <x:f>F28*$F$5+G28*$G$5+H28*$H$5+I28*$I$5+J28*$J$5+K28*$K$5</x:f>
        <x:v>9</x:v>
      </x:c>
      <x:c r="M28" s="44" t="n">
        <x:f>E28-L28</x:f>
        <x:v>1</x:v>
      </x:c>
      <x:c r="N28" s="50" t="str">
        <x:f>IF(M28&lt;0,"VƯỢT CAP",IF(M28=0,"HẾT","OK"))</x:f>
        <x:v>OK</x:v>
      </x:c>
    </x:row>
    <x:row r="29">
      <x:c r="A29" s="49" t="str">
        <x:v>A24</x:v>
      </x:c>
      <x:c r="B29" s="44" t="str">
        <x:v>Truyền thông trên hệ sinh thái Báo Lao Động</x:v>
      </x:c>
      <x:c r="C29" s="44" t="str">
        <x:v>Logo trong video/clip recap chung</x:v>
      </x:c>
      <x:c r="D29" s="44" t="str">
        <x:v>NTT</x:v>
      </x:c>
      <x:c r="E29" s="44" t="n">
        <x:f>'02_Asset_Master'!I28</x:f>
        <x:v>12</x:v>
      </x:c>
      <x:c r="F29" s="44" t="n">
        <x:v>1</x:v>
      </x:c>
      <x:c r="G29" s="44" t="n">
        <x:v>1</x:v>
      </x:c>
      <x:c r="H29" s="44" t="n">
        <x:v>1</x:v>
      </x:c>
      <x:c r="I29" s="44" t="n">
        <x:v>1</x:v>
      </x:c>
      <x:c r="J29" s="44" t="n">
        <x:v>1</x:v>
      </x:c>
      <x:c r="K29" s="44" t="n">
        <x:v>1</x:v>
      </x:c>
      <x:c r="L29" s="44" t="n">
        <x:f>F29*$F$5+G29*$G$5+H29*$H$5+I29*$I$5+J29*$J$5+K29*$K$5</x:f>
        <x:v>12</x:v>
      </x:c>
      <x:c r="M29" s="44" t="n">
        <x:f>E29-L29</x:f>
        <x:v>0</x:v>
      </x:c>
      <x:c r="N29" s="50" t="str">
        <x:f>IF(M29&lt;0,"VƯỢT CAP",IF(M29=0,"HẾT","OK"))</x:f>
        <x:v>HẾT</x:v>
      </x:c>
    </x:row>
    <x:row r="30">
      <x:c r="A30" s="51" t="str">
        <x:v>A25</x:v>
      </x:c>
      <x:c r="B30" s="52" t="str">
        <x:v>Truyền thông trên hệ sinh thái Báo Lao Động</x:v>
      </x:c>
      <x:c r="C30" s="52" t="str">
        <x:v>Bộ ảnh/video hậu sự kiện dành cho Nhà tài trợ</x:v>
      </x:c>
      <x:c r="D30" s="52" t="str">
        <x:v>Bộ</x:v>
      </x:c>
      <x:c r="E30" s="52" t="n">
        <x:f>'02_Asset_Master'!I29</x:f>
        <x:v>8</x:v>
      </x:c>
      <x:c r="F30" s="52" t="n">
        <x:v>0</x:v>
      </x:c>
      <x:c r="G30" s="52" t="n">
        <x:v>0</x:v>
      </x:c>
      <x:c r="H30" s="52" t="n">
        <x:v>1</x:v>
      </x:c>
      <x:c r="I30" s="52" t="n">
        <x:v>1</x:v>
      </x:c>
      <x:c r="J30" s="52" t="n">
        <x:v>1</x:v>
      </x:c>
      <x:c r="K30" s="52" t="n">
        <x:v>1</x:v>
      </x:c>
      <x:c r="L30" s="52" t="n">
        <x:f>F30*$F$5+G30*$G$5+H30*$H$5+I30*$I$5+J30*$J$5+K30*$K$5</x:f>
        <x:v>6</x:v>
      </x:c>
      <x:c r="M30" s="52" t="n">
        <x:f>E30-L30</x:f>
        <x:v>2</x:v>
      </x:c>
      <x:c r="N30" s="53" t="str">
        <x:f>IF(M30&lt;0,"VƯỢT CAP",IF(M30=0,"HẾT","OK"))</x:f>
        <x:v>OK</x:v>
      </x:c>
    </x:row>
  </x:sheetData>
  <x:mergeCells>
    <x:mergeCell ref="A1:N1"/>
    <x:mergeCell ref="A2:N2"/>
  </x:mergeCells>
  <x:conditionalFormatting sqref="N6:N30">
    <x:cfRule type="expression" dxfId="3" priority="1">
      <x:formula>N6="VƯỢT CAP"</x:formula>
    </x:cfRule>
    <x:cfRule type="expression" dxfId="4" priority="2">
      <x:formula>N6="HẾT"</x:formula>
    </x:cfRule>
    <x:cfRule type="expression" dxfId="5" priority="3">
      <x:formula>N6="OK"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3" hidden="0" customWidth="1"/>
    <x:col min="4" max="4" width="13" hidden="0" customWidth="1"/>
    <x:col min="5" max="5" width="16" hidden="0" customWidth="1"/>
    <x:col min="6" max="6" width="12" hidden="0" customWidth="1"/>
    <x:col min="7" max="7" width="12" hidden="0" customWidth="1"/>
    <x:col min="8" max="8" width="13" hidden="0" customWidth="1"/>
    <x:col min="9" max="9" width="28" hidden="0" customWidth="1"/>
    <x:col min="10" max="10" width="42" hidden="0" customWidth="1"/>
  </x:cols>
  <x:sheetData>
    <x:row r="1">
      <x:c r="A1" s="65" t="str">
        <x:v>KIỂM TRA SỨC CHỨA – CƠ CẤU 06 GÓI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2">
      <x:c r="A2" s="13" t="str">
        <x:v>Mục tiêu: tổng tiêu hao khi bán đủ cơ cấu đề xuất không vượt Cap áp dụng. Các asset dùng 100% phải được khóa trước khi phát hành/chốt hợp đồng.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46" t="str">
        <x:v>Mã asset</x:v>
      </x:c>
      <x:c r="B4" s="47" t="str">
        <x:v>Không gian</x:v>
      </x:c>
      <x:c r="C4" s="47" t="str">
        <x:v>Quyền lợi</x:v>
      </x:c>
      <x:c r="D4" s="47" t="str">
        <x:v>Cap áp dụng</x:v>
      </x:c>
      <x:c r="E4" s="47" t="str">
        <x:v>Tổng dùng 06 gói</x:v>
      </x:c>
      <x:c r="F4" s="47" t="str">
        <x:v>Còn lại</x:v>
      </x:c>
      <x:c r="G4" s="47" t="str">
        <x:v>% sử dụng</x:v>
      </x:c>
      <x:c r="H4" s="47" t="str">
        <x:v>Trạng thái</x:v>
      </x:c>
      <x:c r="I4" s="47" t="str">
        <x:v>Rủi ro</x:v>
      </x:c>
      <x:c r="J4" s="48" t="str">
        <x:v>Hành động</x:v>
      </x:c>
    </x:row>
    <x:row r="5">
      <x:c r="A5" s="49" t="str">
        <x:v>A01</x:v>
      </x:c>
      <x:c r="B5" s="44" t="str">
        <x:v>Nhận diện chung toàn giải</x:v>
      </x:c>
      <x:c r="C5" s="44" t="str">
        <x:v>Logobox NTT trên banner/visual quảng bá giải</x:v>
      </x:c>
      <x:c r="D5" s="44" t="n">
        <x:f>'03_Ma_tran_goi'!E6</x:f>
        <x:v>12</x:v>
      </x:c>
      <x:c r="E5" s="44" t="n">
        <x:f>'03_Ma_tran_goi'!L6</x:f>
        <x:v>12</x:v>
      </x:c>
      <x:c r="F5" s="44" t="n">
        <x:f>D5-E5</x:f>
        <x:v>0</x:v>
      </x:c>
      <x:c r="G5" s="80" t="n">
        <x:f>IF(D5=0,0,E5/D5)</x:f>
        <x:v>1</x:v>
      </x:c>
      <x:c r="H5" s="44" t="str">
        <x:f>IF(E5&gt;D5,"VƯỢT CAP",IF(E5=D5,"HẾT","OK"))</x:f>
        <x:v>HẾT</x:v>
      </x:c>
      <x:c r="I5" s="44" t="str">
        <x:f>IF(H5="VƯỢT CAP","Cam kết vượt kho quyền lợi",IF(G5&gt;=1,"Dùng hết cap",IF(G5&gt;=0.9,"Tiệm cận cap","Trong ngưỡng kiểm soát")))</x:f>
        <x:v>Dùng hết cap</x:v>
      </x:c>
      <x:c r="J5" s="50" t="str">
        <x:f>IF(H5="VƯỢT CAP","Giảm quyền lợi/Max NTT hoặc mở thêm cap đã được phê duyệt",IF(G5&gt;=1,"Khóa FINAL trước khi ký; không cấp thêm",IF(G5&gt;=0.9,"Giữ buffer, theo dõi chặt","Theo dõi phân bổ thực tế")))</x:f>
        <x:v>Khóa FINAL trước khi ký; không cấp thêm</x:v>
      </x:c>
    </x:row>
    <x:row r="6">
      <x:c r="A6" s="49" t="str">
        <x:v>A02</x:v>
      </x:c>
      <x:c r="B6" s="44" t="str">
        <x:v>Nhận diện chung toàn giải</x:v>
      </x:c>
      <x:c r="C6" s="44" t="str">
        <x:v>Logo trên backdrop/LED nhận diện chung</x:v>
      </x:c>
      <x:c r="D6" s="44" t="n">
        <x:f>'03_Ma_tran_goi'!E7</x:f>
        <x:v>12</x:v>
      </x:c>
      <x:c r="E6" s="44" t="n">
        <x:f>'03_Ma_tran_goi'!L7</x:f>
        <x:v>12</x:v>
      </x:c>
      <x:c r="F6" s="44" t="n">
        <x:f>D6-E6</x:f>
        <x:v>0</x:v>
      </x:c>
      <x:c r="G6" s="80" t="n">
        <x:f>IF(D6=0,0,E6/D6)</x:f>
        <x:v>1</x:v>
      </x:c>
      <x:c r="H6" s="44" t="str">
        <x:f>IF(E6&gt;D6,"VƯỢT CAP",IF(E6=D6,"HẾT","OK"))</x:f>
        <x:v>HẾT</x:v>
      </x:c>
      <x:c r="I6" s="44" t="str">
        <x:f>IF(H6="VƯỢT CAP","Cam kết vượt kho quyền lợi",IF(G6&gt;=1,"Dùng hết cap",IF(G6&gt;=0.9,"Tiệm cận cap","Trong ngưỡng kiểm soát")))</x:f>
        <x:v>Dùng hết cap</x:v>
      </x:c>
      <x:c r="J6" s="50" t="str">
        <x:f>IF(H6="VƯỢT CAP","Giảm quyền lợi/Max NTT hoặc mở thêm cap đã được phê duyệt",IF(G6&gt;=1,"Khóa FINAL trước khi ký; không cấp thêm",IF(G6&gt;=0.9,"Giữ buffer, theo dõi chặt","Theo dõi phân bổ thực tế")))</x:f>
        <x:v>Khóa FINAL trước khi ký; không cấp thêm</x:v>
      </x:c>
    </x:row>
    <x:row r="7">
      <x:c r="A7" s="49" t="str">
        <x:v>A03</x:v>
      </x:c>
      <x:c r="B7" s="44" t="str">
        <x:v>Nhận diện chung toàn giải</x:v>
      </x:c>
      <x:c r="C7" s="44" t="str">
        <x:v>Logo trên tài liệu/ấn phẩm tại sự kiện</x:v>
      </x:c>
      <x:c r="D7" s="44" t="n">
        <x:f>'03_Ma_tran_goi'!E8</x:f>
        <x:v>10</x:v>
      </x:c>
      <x:c r="E7" s="44" t="n">
        <x:f>'03_Ma_tran_goi'!L8</x:f>
        <x:v>9</x:v>
      </x:c>
      <x:c r="F7" s="44" t="n">
        <x:f>D7-E7</x:f>
        <x:v>1</x:v>
      </x:c>
      <x:c r="G7" s="80" t="n">
        <x:f>IF(D7=0,0,E7/D7)</x:f>
        <x:v>0.9</x:v>
      </x:c>
      <x:c r="H7" s="44" t="str">
        <x:f>IF(E7&gt;D7,"VƯỢT CAP",IF(E7=D7,"HẾT","OK"))</x:f>
        <x:v>OK</x:v>
      </x:c>
      <x:c r="I7" s="44" t="str">
        <x:f>IF(H7="VƯỢT CAP","Cam kết vượt kho quyền lợi",IF(G7&gt;=1,"Dùng hết cap",IF(G7&gt;=0.9,"Tiệm cận cap","Trong ngưỡng kiểm soát")))</x:f>
        <x:v>Tiệm cận cap</x:v>
      </x:c>
      <x:c r="J7" s="50" t="str">
        <x:f>IF(H7="VƯỢT CAP","Giảm quyền lợi/Max NTT hoặc mở thêm cap đã được phê duyệt",IF(G7&gt;=1,"Khóa FINAL trước khi ký; không cấp thêm",IF(G7&gt;=0.9,"Giữ buffer, theo dõi chặt","Theo dõi phân bổ thực tế")))</x:f>
        <x:v>Giữ buffer, theo dõi chặt</x:v>
      </x:c>
    </x:row>
    <x:row r="8">
      <x:c r="A8" s="49" t="str">
        <x:v>A04</x:v>
      </x:c>
      <x:c r="B8" s="44" t="str">
        <x:v>Check-in và đón khách</x:v>
      </x:c>
      <x:c r="C8" s="44" t="str">
        <x:v>Logo tại photo wall/check-in</x:v>
      </x:c>
      <x:c r="D8" s="44" t="n">
        <x:f>'03_Ma_tran_goi'!E9</x:f>
        <x:v>10</x:v>
      </x:c>
      <x:c r="E8" s="44" t="n">
        <x:f>'03_Ma_tran_goi'!L9</x:f>
        <x:v>9</x:v>
      </x:c>
      <x:c r="F8" s="44" t="n">
        <x:f>D8-E8</x:f>
        <x:v>1</x:v>
      </x:c>
      <x:c r="G8" s="80" t="n">
        <x:f>IF(D8=0,0,E8/D8)</x:f>
        <x:v>0.9</x:v>
      </x:c>
      <x:c r="H8" s="44" t="str">
        <x:f>IF(E8&gt;D8,"VƯỢT CAP",IF(E8=D8,"HẾT","OK"))</x:f>
        <x:v>OK</x:v>
      </x:c>
      <x:c r="I8" s="44" t="str">
        <x:f>IF(H8="VƯỢT CAP","Cam kết vượt kho quyền lợi",IF(G8&gt;=1,"Dùng hết cap",IF(G8&gt;=0.9,"Tiệm cận cap","Trong ngưỡng kiểm soát")))</x:f>
        <x:v>Tiệm cận cap</x:v>
      </x:c>
      <x:c r="J8" s="50" t="str">
        <x:f>IF(H8="VƯỢT CAP","Giảm quyền lợi/Max NTT hoặc mở thêm cap đã được phê duyệt",IF(G8&gt;=1,"Khóa FINAL trước khi ký; không cấp thêm",IF(G8&gt;=0.9,"Giữ buffer, theo dõi chặt","Theo dõi phân bổ thực tế")))</x:f>
        <x:v>Giữ buffer, theo dõi chặt</x:v>
      </x:c>
    </x:row>
    <x:row r="9">
      <x:c r="A9" s="49" t="str">
        <x:v>A05</x:v>
      </x:c>
      <x:c r="B9" s="44" t="str">
        <x:v>Check-in và đón khách</x:v>
      </x:c>
      <x:c r="C9" s="44" t="str">
        <x:v>Standee/biển thương hiệu riêng tại khu đón khách</x:v>
      </x:c>
      <x:c r="D9" s="44" t="n">
        <x:f>'03_Ma_tran_goi'!E10</x:f>
        <x:v>4</x:v>
      </x:c>
      <x:c r="E9" s="44" t="n">
        <x:f>'03_Ma_tran_goi'!L10</x:f>
        <x:v>4</x:v>
      </x:c>
      <x:c r="F9" s="44" t="n">
        <x:f>D9-E9</x:f>
        <x:v>0</x:v>
      </x:c>
      <x:c r="G9" s="80" t="n">
        <x:f>IF(D9=0,0,E9/D9)</x:f>
        <x:v>1</x:v>
      </x:c>
      <x:c r="H9" s="44" t="str">
        <x:f>IF(E9&gt;D9,"VƯỢT CAP",IF(E9=D9,"HẾT","OK"))</x:f>
        <x:v>HẾT</x:v>
      </x:c>
      <x:c r="I9" s="44" t="str">
        <x:f>IF(H9="VƯỢT CAP","Cam kết vượt kho quyền lợi",IF(G9&gt;=1,"Dùng hết cap",IF(G9&gt;=0.9,"Tiệm cận cap","Trong ngưỡng kiểm soát")))</x:f>
        <x:v>Dùng hết cap</x:v>
      </x:c>
      <x:c r="J9" s="50" t="str">
        <x:f>IF(H9="VƯỢT CAP","Giảm quyền lợi/Max NTT hoặc mở thêm cap đã được phê duyệt",IF(G9&gt;=1,"Khóa FINAL trước khi ký; không cấp thêm",IF(G9&gt;=0.9,"Giữ buffer, theo dõi chặt","Theo dõi phân bổ thực tế")))</x:f>
        <x:v>Khóa FINAL trước khi ký; không cấp thêm</x:v>
      </x:c>
    </x:row>
    <x:row r="10">
      <x:c r="A10" s="49" t="str">
        <x:v>A06</x:v>
      </x:c>
      <x:c r="B10" s="44" t="str">
        <x:v>Sân golf và thi đấu</x:v>
      </x:c>
      <x:c r="C10" s="44" t="str">
        <x:v>Branding hố golf thường</x:v>
      </x:c>
      <x:c r="D10" s="44" t="n">
        <x:f>'03_Ma_tran_goi'!E11</x:f>
        <x:v>8</x:v>
      </x:c>
      <x:c r="E10" s="44" t="n">
        <x:f>'03_Ma_tran_goi'!L11</x:f>
        <x:v>7</x:v>
      </x:c>
      <x:c r="F10" s="44" t="n">
        <x:f>D10-E10</x:f>
        <x:v>1</x:v>
      </x:c>
      <x:c r="G10" s="80" t="n">
        <x:f>IF(D10=0,0,E10/D10)</x:f>
        <x:v>0.875</x:v>
      </x:c>
      <x:c r="H10" s="44" t="str">
        <x:f>IF(E10&gt;D10,"VƯỢT CAP",IF(E10=D10,"HẾT","OK"))</x:f>
        <x:v>OK</x:v>
      </x:c>
      <x:c r="I10" s="44" t="str">
        <x:f>IF(H10="VƯỢT CAP","Cam kết vượt kho quyền lợi",IF(G10&gt;=1,"Dùng hết cap",IF(G10&gt;=0.9,"Tiệm cận cap","Trong ngưỡng kiểm soát")))</x:f>
        <x:v>Trong ngưỡng kiểm soát</x:v>
      </x:c>
      <x:c r="J10" s="50" t="str">
        <x:f>IF(H10="VƯỢT CAP","Giảm quyền lợi/Max NTT hoặc mở thêm cap đã được phê duyệt",IF(G10&gt;=1,"Khóa FINAL trước khi ký; không cấp thêm",IF(G10&gt;=0.9,"Giữ buffer, theo dõi chặt","Theo dõi phân bổ thực tế")))</x:f>
        <x:v>Theo dõi phân bổ thực tế</x:v>
      </x:c>
    </x:row>
    <x:row r="11">
      <x:c r="A11" s="49" t="str">
        <x:v>A07</x:v>
      </x:c>
      <x:c r="B11" s="44" t="str">
        <x:v>Sân golf và thi đấu</x:v>
      </x:c>
      <x:c r="C11" s="44" t="str">
        <x:v>Tài trợ Hole-in-One</x:v>
      </x:c>
      <x:c r="D11" s="44" t="n">
        <x:f>'03_Ma_tran_goi'!E12</x:f>
        <x:v>2</x:v>
      </x:c>
      <x:c r="E11" s="44" t="n">
        <x:f>'03_Ma_tran_goi'!L12</x:f>
        <x:v>0</x:v>
      </x:c>
      <x:c r="F11" s="44" t="n">
        <x:f>D11-E11</x:f>
        <x:v>2</x:v>
      </x:c>
      <x:c r="G11" s="80" t="n">
        <x:f>IF(D11=0,0,E11/D11)</x:f>
        <x:v>0</x:v>
      </x:c>
      <x:c r="H11" s="44" t="str">
        <x:f>IF(E11&gt;D11,"VƯỢT CAP",IF(E11=D11,"HẾT","OK"))</x:f>
        <x:v>OK</x:v>
      </x:c>
      <x:c r="I11" s="44" t="str">
        <x:f>IF(H11="VƯỢT CAP","Cam kết vượt kho quyền lợi",IF(G11&gt;=1,"Dùng hết cap",IF(G11&gt;=0.9,"Tiệm cận cap","Trong ngưỡng kiểm soát")))</x:f>
        <x:v>Trong ngưỡng kiểm soát</x:v>
      </x:c>
      <x:c r="J11" s="50" t="str">
        <x:f>IF(H11="VƯỢT CAP","Giảm quyền lợi/Max NTT hoặc mở thêm cap đã được phê duyệt",IF(G11&gt;=1,"Khóa FINAL trước khi ký; không cấp thêm",IF(G11&gt;=0.9,"Giữ buffer, theo dõi chặt","Theo dõi phân bổ thực tế")))</x:f>
        <x:v>Theo dõi phân bổ thực tế</x:v>
      </x:c>
    </x:row>
    <x:row r="12">
      <x:c r="A12" s="49" t="str">
        <x:v>A08</x:v>
      </x:c>
      <x:c r="B12" s="44" t="str">
        <x:v>Sân golf và thi đấu</x:v>
      </x:c>
      <x:c r="C12" s="44" t="str">
        <x:v>Tài trợ giải kỹ thuật</x:v>
      </x:c>
      <x:c r="D12" s="44" t="n">
        <x:f>'03_Ma_tran_goi'!E13</x:f>
        <x:v>4</x:v>
      </x:c>
      <x:c r="E12" s="44" t="n">
        <x:f>'03_Ma_tran_goi'!L13</x:f>
        <x:v>0</x:v>
      </x:c>
      <x:c r="F12" s="44" t="n">
        <x:f>D12-E12</x:f>
        <x:v>4</x:v>
      </x:c>
      <x:c r="G12" s="80" t="n">
        <x:f>IF(D12=0,0,E12/D12)</x:f>
        <x:v>0</x:v>
      </x:c>
      <x:c r="H12" s="44" t="str">
        <x:f>IF(E12&gt;D12,"VƯỢT CAP",IF(E12=D12,"HẾT","OK"))</x:f>
        <x:v>OK</x:v>
      </x:c>
      <x:c r="I12" s="44" t="str">
        <x:f>IF(H12="VƯỢT CAP","Cam kết vượt kho quyền lợi",IF(G12&gt;=1,"Dùng hết cap",IF(G12&gt;=0.9,"Tiệm cận cap","Trong ngưỡng kiểm soát")))</x:f>
        <x:v>Trong ngưỡng kiểm soát</x:v>
      </x:c>
      <x:c r="J12" s="50" t="str">
        <x:f>IF(H12="VƯỢT CAP","Giảm quyền lợi/Max NTT hoặc mở thêm cap đã được phê duyệt",IF(G12&gt;=1,"Khóa FINAL trước khi ký; không cấp thêm",IF(G12&gt;=0.9,"Giữ buffer, theo dõi chặt","Theo dõi phân bổ thực tế")))</x:f>
        <x:v>Theo dõi phân bổ thực tế</x:v>
      </x:c>
    </x:row>
    <x:row r="13">
      <x:c r="A13" s="49" t="str">
        <x:v>A09</x:v>
      </x:c>
      <x:c r="B13" s="44" t="str">
        <x:v>Golfer và Networking</x:v>
      </x:c>
      <x:c r="C13" s="44" t="str">
        <x:v>Suất golfer</x:v>
      </x:c>
      <x:c r="D13" s="44" t="n">
        <x:f>'03_Ma_tran_goi'!E14</x:f>
        <x:v>32</x:v>
      </x:c>
      <x:c r="E13" s="44" t="n">
        <x:f>'03_Ma_tran_goi'!L14</x:f>
        <x:v>31</x:v>
      </x:c>
      <x:c r="F13" s="44" t="n">
        <x:f>D13-E13</x:f>
        <x:v>1</x:v>
      </x:c>
      <x:c r="G13" s="80" t="n">
        <x:f>IF(D13=0,0,E13/D13)</x:f>
        <x:v>0.96875</x:v>
      </x:c>
      <x:c r="H13" s="44" t="str">
        <x:f>IF(E13&gt;D13,"VƯỢT CAP",IF(E13=D13,"HẾT","OK"))</x:f>
        <x:v>OK</x:v>
      </x:c>
      <x:c r="I13" s="44" t="str">
        <x:f>IF(H13="VƯỢT CAP","Cam kết vượt kho quyền lợi",IF(G13&gt;=1,"Dùng hết cap",IF(G13&gt;=0.9,"Tiệm cận cap","Trong ngưỡng kiểm soát")))</x:f>
        <x:v>Tiệm cận cap</x:v>
      </x:c>
      <x:c r="J13" s="50" t="str">
        <x:f>IF(H13="VƯỢT CAP","Giảm quyền lợi/Max NTT hoặc mở thêm cap đã được phê duyệt",IF(G13&gt;=1,"Khóa FINAL trước khi ký; không cấp thêm",IF(G13&gt;=0.9,"Giữ buffer, theo dõi chặt","Theo dõi phân bổ thực tế")))</x:f>
        <x:v>Giữ buffer, theo dõi chặt</x:v>
      </x:c>
    </x:row>
    <x:row r="14">
      <x:c r="A14" s="49" t="str">
        <x:v>A10</x:v>
      </x:c>
      <x:c r="B14" s="44" t="str">
        <x:v>Golfer và Networking</x:v>
      </x:c>
      <x:c r="C14" s="44" t="str">
        <x:v>Suất Gala Dinner/Lễ trao giải</x:v>
      </x:c>
      <x:c r="D14" s="44" t="n">
        <x:f>'03_Ma_tran_goi'!E15</x:f>
        <x:v>60</x:v>
      </x:c>
      <x:c r="E14" s="44" t="n">
        <x:f>'03_Ma_tran_goi'!L15</x:f>
        <x:v>46</x:v>
      </x:c>
      <x:c r="F14" s="44" t="n">
        <x:f>D14-E14</x:f>
        <x:v>14</x:v>
      </x:c>
      <x:c r="G14" s="80" t="n">
        <x:f>IF(D14=0,0,E14/D14)</x:f>
        <x:v>0.7666666666666667</x:v>
      </x:c>
      <x:c r="H14" s="44" t="str">
        <x:f>IF(E14&gt;D14,"VƯỢT CAP",IF(E14=D14,"HẾT","OK"))</x:f>
        <x:v>OK</x:v>
      </x:c>
      <x:c r="I14" s="44" t="str">
        <x:f>IF(H14="VƯỢT CAP","Cam kết vượt kho quyền lợi",IF(G14&gt;=1,"Dùng hết cap",IF(G14&gt;=0.9,"Tiệm cận cap","Trong ngưỡng kiểm soát")))</x:f>
        <x:v>Trong ngưỡng kiểm soát</x:v>
      </x:c>
      <x:c r="J14" s="50" t="str">
        <x:f>IF(H14="VƯỢT CAP","Giảm quyền lợi/Max NTT hoặc mở thêm cap đã được phê duyệt",IF(G14&gt;=1,"Khóa FINAL trước khi ký; không cấp thêm",IF(G14&gt;=0.9,"Giữ buffer, theo dõi chặt","Theo dõi phân bổ thực tế")))</x:f>
        <x:v>Theo dõi phân bổ thực tế</x:v>
      </x:c>
    </x:row>
    <x:row r="15">
      <x:c r="A15" s="49" t="str">
        <x:v>A11</x:v>
      </x:c>
      <x:c r="B15" s="44" t="str">
        <x:v>Activation và trưng bày thương hiệu</x:v>
      </x:c>
      <x:c r="C15" s="44" t="str">
        <x:v>Booth/điểm activation riêng</x:v>
      </x:c>
      <x:c r="D15" s="44" t="n">
        <x:f>'03_Ma_tran_goi'!E16</x:f>
        <x:v>4</x:v>
      </x:c>
      <x:c r="E15" s="44" t="n">
        <x:f>'03_Ma_tran_goi'!L16</x:f>
        <x:v>4</x:v>
      </x:c>
      <x:c r="F15" s="44" t="n">
        <x:f>D15-E15</x:f>
        <x:v>0</x:v>
      </x:c>
      <x:c r="G15" s="80" t="n">
        <x:f>IF(D15=0,0,E15/D15)</x:f>
        <x:v>1</x:v>
      </x:c>
      <x:c r="H15" s="44" t="str">
        <x:f>IF(E15&gt;D15,"VƯỢT CAP",IF(E15=D15,"HẾT","OK"))</x:f>
        <x:v>HẾT</x:v>
      </x:c>
      <x:c r="I15" s="44" t="str">
        <x:f>IF(H15="VƯỢT CAP","Cam kết vượt kho quyền lợi",IF(G15&gt;=1,"Dùng hết cap",IF(G15&gt;=0.9,"Tiệm cận cap","Trong ngưỡng kiểm soát")))</x:f>
        <x:v>Dùng hết cap</x:v>
      </x:c>
      <x:c r="J15" s="50" t="str">
        <x:f>IF(H15="VƯỢT CAP","Giảm quyền lợi/Max NTT hoặc mở thêm cap đã được phê duyệt",IF(G15&gt;=1,"Khóa FINAL trước khi ký; không cấp thêm",IF(G15&gt;=0.9,"Giữ buffer, theo dõi chặt","Theo dõi phân bổ thực tế")))</x:f>
        <x:v>Khóa FINAL trước khi ký; không cấp thêm</x:v>
      </x:c>
    </x:row>
    <x:row r="16">
      <x:c r="A16" s="49" t="str">
        <x:v>A12</x:v>
      </x:c>
      <x:c r="B16" s="44" t="str">
        <x:v>Activation và trưng bày thương hiệu</x:v>
      </x:c>
      <x:c r="C16" s="44" t="str">
        <x:v>Vị trí trưng bày xe/sản phẩm kích thước lớn</x:v>
      </x:c>
      <x:c r="D16" s="44" t="n">
        <x:f>'03_Ma_tran_goi'!E17</x:f>
        <x:v>2</x:v>
      </x:c>
      <x:c r="E16" s="44" t="n">
        <x:f>'03_Ma_tran_goi'!L17</x:f>
        <x:v>2</x:v>
      </x:c>
      <x:c r="F16" s="44" t="n">
        <x:f>D16-E16</x:f>
        <x:v>0</x:v>
      </x:c>
      <x:c r="G16" s="80" t="n">
        <x:f>IF(D16=0,0,E16/D16)</x:f>
        <x:v>1</x:v>
      </x:c>
      <x:c r="H16" s="44" t="str">
        <x:f>IF(E16&gt;D16,"VƯỢT CAP",IF(E16=D16,"HẾT","OK"))</x:f>
        <x:v>HẾT</x:v>
      </x:c>
      <x:c r="I16" s="44" t="str">
        <x:f>IF(H16="VƯỢT CAP","Cam kết vượt kho quyền lợi",IF(G16&gt;=1,"Dùng hết cap",IF(G16&gt;=0.9,"Tiệm cận cap","Trong ngưỡng kiểm soát")))</x:f>
        <x:v>Dùng hết cap</x:v>
      </x:c>
      <x:c r="J16" s="50" t="str">
        <x:f>IF(H16="VƯỢT CAP","Giảm quyền lợi/Max NTT hoặc mở thêm cap đã được phê duyệt",IF(G16&gt;=1,"Khóa FINAL trước khi ký; không cấp thêm",IF(G16&gt;=0.9,"Giữ buffer, theo dõi chặt","Theo dõi phân bổ thực tế")))</x:f>
        <x:v>Khóa FINAL trước khi ký; không cấp thêm</x:v>
      </x:c>
    </x:row>
    <x:row r="17">
      <x:c r="A17" s="49" t="str">
        <x:v>A13</x:v>
      </x:c>
      <x:c r="B17" s="44" t="str">
        <x:v>Activation và trưng bày thương hiệu</x:v>
      </x:c>
      <x:c r="C17" s="44" t="str">
        <x:v>Sản phẩm/voucher trong gift bag</x:v>
      </x:c>
      <x:c r="D17" s="44" t="n">
        <x:f>'03_Ma_tran_goi'!E18</x:f>
        <x:v>8</x:v>
      </x:c>
      <x:c r="E17" s="44" t="n">
        <x:f>'03_Ma_tran_goi'!L18</x:f>
        <x:v>6</x:v>
      </x:c>
      <x:c r="F17" s="44" t="n">
        <x:f>D17-E17</x:f>
        <x:v>2</x:v>
      </x:c>
      <x:c r="G17" s="80" t="n">
        <x:f>IF(D17=0,0,E17/D17)</x:f>
        <x:v>0.75</x:v>
      </x:c>
      <x:c r="H17" s="44" t="str">
        <x:f>IF(E17&gt;D17,"VƯỢT CAP",IF(E17=D17,"HẾT","OK"))</x:f>
        <x:v>OK</x:v>
      </x:c>
      <x:c r="I17" s="44" t="str">
        <x:f>IF(H17="VƯỢT CAP","Cam kết vượt kho quyền lợi",IF(G17&gt;=1,"Dùng hết cap",IF(G17&gt;=0.9,"Tiệm cận cap","Trong ngưỡng kiểm soát")))</x:f>
        <x:v>Trong ngưỡng kiểm soát</x:v>
      </x:c>
      <x:c r="J17" s="50" t="str">
        <x:f>IF(H17="VƯỢT CAP","Giảm quyền lợi/Max NTT hoặc mở thêm cap đã được phê duyệt",IF(G17&gt;=1,"Khóa FINAL trước khi ký; không cấp thêm",IF(G17&gt;=0.9,"Giữ buffer, theo dõi chặt","Theo dõi phân bổ thực tế")))</x:f>
        <x:v>Theo dõi phân bổ thực tế</x:v>
      </x:c>
    </x:row>
    <x:row r="18">
      <x:c r="A18" s="49" t="str">
        <x:v>A14</x:v>
      </x:c>
      <x:c r="B18" s="44" t="str">
        <x:v>Activation và trưng bày thương hiệu</x:v>
      </x:c>
      <x:c r="C18" s="44" t="str">
        <x:v>Sampling/trải nghiệm sản phẩm</x:v>
      </x:c>
      <x:c r="D18" s="44" t="n">
        <x:f>'03_Ma_tran_goi'!E19</x:f>
        <x:v>3</x:v>
      </x:c>
      <x:c r="E18" s="44" t="n">
        <x:f>'03_Ma_tran_goi'!L19</x:f>
        <x:v>2</x:v>
      </x:c>
      <x:c r="F18" s="44" t="n">
        <x:f>D18-E18</x:f>
        <x:v>1</x:v>
      </x:c>
      <x:c r="G18" s="80" t="n">
        <x:f>IF(D18=0,0,E18/D18)</x:f>
        <x:v>0.6666666666666666</x:v>
      </x:c>
      <x:c r="H18" s="44" t="str">
        <x:f>IF(E18&gt;D18,"VƯỢT CAP",IF(E18=D18,"HẾT","OK"))</x:f>
        <x:v>OK</x:v>
      </x:c>
      <x:c r="I18" s="44" t="str">
        <x:f>IF(H18="VƯỢT CAP","Cam kết vượt kho quyền lợi",IF(G18&gt;=1,"Dùng hết cap",IF(G18&gt;=0.9,"Tiệm cận cap","Trong ngưỡng kiểm soát")))</x:f>
        <x:v>Trong ngưỡng kiểm soát</x:v>
      </x:c>
      <x:c r="J18" s="50" t="str">
        <x:f>IF(H18="VƯỢT CAP","Giảm quyền lợi/Max NTT hoặc mở thêm cap đã được phê duyệt",IF(G18&gt;=1,"Khóa FINAL trước khi ký; không cấp thêm",IF(G18&gt;=0.9,"Giữ buffer, theo dõi chặt","Theo dõi phân bổ thực tế")))</x:f>
        <x:v>Theo dõi phân bổ thực tế</x:v>
      </x:c>
    </x:row>
    <x:row r="19">
      <x:c r="A19" s="49" t="str">
        <x:v>A15</x:v>
      </x:c>
      <x:c r="B19" s="44" t="str">
        <x:v>Gala Dinner và Lễ trao giải</x:v>
      </x:c>
      <x:c r="C19" s="44" t="str">
        <x:v>Logo trên LED/backdrop Gala</x:v>
      </x:c>
      <x:c r="D19" s="44" t="n">
        <x:f>'03_Ma_tran_goi'!E20</x:f>
        <x:v>12</x:v>
      </x:c>
      <x:c r="E19" s="44" t="n">
        <x:f>'03_Ma_tran_goi'!L20</x:f>
        <x:v>12</x:v>
      </x:c>
      <x:c r="F19" s="44" t="n">
        <x:f>D19-E19</x:f>
        <x:v>0</x:v>
      </x:c>
      <x:c r="G19" s="80" t="n">
        <x:f>IF(D19=0,0,E19/D19)</x:f>
        <x:v>1</x:v>
      </x:c>
      <x:c r="H19" s="44" t="str">
        <x:f>IF(E19&gt;D19,"VƯỢT CAP",IF(E19=D19,"HẾT","OK"))</x:f>
        <x:v>HẾT</x:v>
      </x:c>
      <x:c r="I19" s="44" t="str">
        <x:f>IF(H19="VƯỢT CAP","Cam kết vượt kho quyền lợi",IF(G19&gt;=1,"Dùng hết cap",IF(G19&gt;=0.9,"Tiệm cận cap","Trong ngưỡng kiểm soát")))</x:f>
        <x:v>Dùng hết cap</x:v>
      </x:c>
      <x:c r="J19" s="50" t="str">
        <x:f>IF(H19="VƯỢT CAP","Giảm quyền lợi/Max NTT hoặc mở thêm cap đã được phê duyệt",IF(G19&gt;=1,"Khóa FINAL trước khi ký; không cấp thêm",IF(G19&gt;=0.9,"Giữ buffer, theo dõi chặt","Theo dõi phân bổ thực tế")))</x:f>
        <x:v>Khóa FINAL trước khi ký; không cấp thêm</x:v>
      </x:c>
    </x:row>
    <x:row r="20">
      <x:c r="A20" s="49" t="str">
        <x:v>A16</x:v>
      </x:c>
      <x:c r="B20" s="44" t="str">
        <x:v>Gala Dinner và Lễ trao giải</x:v>
      </x:c>
      <x:c r="C20" s="44" t="str">
        <x:v>MC ghi nhận/cảm ơn Nhà tài trợ</x:v>
      </x:c>
      <x:c r="D20" s="44" t="n">
        <x:f>'03_Ma_tran_goi'!E21</x:f>
        <x:v>12</x:v>
      </x:c>
      <x:c r="E20" s="44" t="n">
        <x:f>'03_Ma_tran_goi'!L21</x:f>
        <x:v>12</x:v>
      </x:c>
      <x:c r="F20" s="44" t="n">
        <x:f>D20-E20</x:f>
        <x:v>0</x:v>
      </x:c>
      <x:c r="G20" s="80" t="n">
        <x:f>IF(D20=0,0,E20/D20)</x:f>
        <x:v>1</x:v>
      </x:c>
      <x:c r="H20" s="44" t="str">
        <x:f>IF(E20&gt;D20,"VƯỢT CAP",IF(E20=D20,"HẾT","OK"))</x:f>
        <x:v>HẾT</x:v>
      </x:c>
      <x:c r="I20" s="44" t="str">
        <x:f>IF(H20="VƯỢT CAP","Cam kết vượt kho quyền lợi",IF(G20&gt;=1,"Dùng hết cap",IF(G20&gt;=0.9,"Tiệm cận cap","Trong ngưỡng kiểm soát")))</x:f>
        <x:v>Dùng hết cap</x:v>
      </x:c>
      <x:c r="J20" s="50" t="str">
        <x:f>IF(H20="VƯỢT CAP","Giảm quyền lợi/Max NTT hoặc mở thêm cap đã được phê duyệt",IF(G20&gt;=1,"Khóa FINAL trước khi ký; không cấp thêm",IF(G20&gt;=0.9,"Giữ buffer, theo dõi chặt","Theo dõi phân bổ thực tế")))</x:f>
        <x:v>Khóa FINAL trước khi ký; không cấp thêm</x:v>
      </x:c>
    </x:row>
    <x:row r="21">
      <x:c r="A21" s="49" t="str">
        <x:v>A17</x:v>
      </x:c>
      <x:c r="B21" s="44" t="str">
        <x:v>Gala Dinner và Lễ trao giải</x:v>
      </x:c>
      <x:c r="C21" s="44" t="str">
        <x:v>Đại diện Nhà tài trợ trao giải</x:v>
      </x:c>
      <x:c r="D21" s="44" t="n">
        <x:f>'03_Ma_tran_goi'!E22</x:f>
        <x:v>6</x:v>
      </x:c>
      <x:c r="E21" s="44" t="n">
        <x:f>'03_Ma_tran_goi'!L22</x:f>
        <x:v>6</x:v>
      </x:c>
      <x:c r="F21" s="44" t="n">
        <x:f>D21-E21</x:f>
        <x:v>0</x:v>
      </x:c>
      <x:c r="G21" s="80" t="n">
        <x:f>IF(D21=0,0,E21/D21)</x:f>
        <x:v>1</x:v>
      </x:c>
      <x:c r="H21" s="44" t="str">
        <x:f>IF(E21&gt;D21,"VƯỢT CAP",IF(E21=D21,"HẾT","OK"))</x:f>
        <x:v>HẾT</x:v>
      </x:c>
      <x:c r="I21" s="44" t="str">
        <x:f>IF(H21="VƯỢT CAP","Cam kết vượt kho quyền lợi",IF(G21&gt;=1,"Dùng hết cap",IF(G21&gt;=0.9,"Tiệm cận cap","Trong ngưỡng kiểm soát")))</x:f>
        <x:v>Dùng hết cap</x:v>
      </x:c>
      <x:c r="J21" s="50" t="str">
        <x:f>IF(H21="VƯỢT CAP","Giảm quyền lợi/Max NTT hoặc mở thêm cap đã được phê duyệt",IF(G21&gt;=1,"Khóa FINAL trước khi ký; không cấp thêm",IF(G21&gt;=0.9,"Giữ buffer, theo dõi chặt","Theo dõi phân bổ thực tế")))</x:f>
        <x:v>Khóa FINAL trước khi ký; không cấp thêm</x:v>
      </x:c>
    </x:row>
    <x:row r="22">
      <x:c r="A22" s="49" t="str">
        <x:v>A18</x:v>
      </x:c>
      <x:c r="B22" s="44" t="str">
        <x:v>Gala Dinner và Lễ trao giải</x:v>
      </x:c>
      <x:c r="C22" s="44" t="str">
        <x:v>Phát biểu tại Gala</x:v>
      </x:c>
      <x:c r="D22" s="44" t="n">
        <x:f>'03_Ma_tran_goi'!E23</x:f>
        <x:v>1</x:v>
      </x:c>
      <x:c r="E22" s="44" t="n">
        <x:f>'03_Ma_tran_goi'!L23</x:f>
        <x:v>1</x:v>
      </x:c>
      <x:c r="F22" s="44" t="n">
        <x:f>D22-E22</x:f>
        <x:v>0</x:v>
      </x:c>
      <x:c r="G22" s="80" t="n">
        <x:f>IF(D22=0,0,E22/D22)</x:f>
        <x:v>1</x:v>
      </x:c>
      <x:c r="H22" s="44" t="str">
        <x:f>IF(E22&gt;D22,"VƯỢT CAP",IF(E22=D22,"HẾT","OK"))</x:f>
        <x:v>HẾT</x:v>
      </x:c>
      <x:c r="I22" s="44" t="str">
        <x:f>IF(H22="VƯỢT CAP","Cam kết vượt kho quyền lợi",IF(G22&gt;=1,"Dùng hết cap",IF(G22&gt;=0.9,"Tiệm cận cap","Trong ngưỡng kiểm soát")))</x:f>
        <x:v>Dùng hết cap</x:v>
      </x:c>
      <x:c r="J22" s="50" t="str">
        <x:f>IF(H22="VƯỢT CAP","Giảm quyền lợi/Max NTT hoặc mở thêm cap đã được phê duyệt",IF(G22&gt;=1,"Khóa FINAL trước khi ký; không cấp thêm",IF(G22&gt;=0.9,"Giữ buffer, theo dõi chặt","Theo dõi phân bổ thực tế")))</x:f>
        <x:v>Khóa FINAL trước khi ký; không cấp thêm</x:v>
      </x:c>
    </x:row>
    <x:row r="23">
      <x:c r="A23" s="49" t="str">
        <x:v>A19</x:v>
      </x:c>
      <x:c r="B23" s="44" t="str">
        <x:v>Gala Dinner và Lễ trao giải</x:v>
      </x:c>
      <x:c r="C23" s="44" t="str">
        <x:v>TVC/video thương hiệu trên màn hình Gala</x:v>
      </x:c>
      <x:c r="D23" s="44" t="n">
        <x:f>'03_Ma_tran_goi'!E24</x:f>
        <x:v>4</x:v>
      </x:c>
      <x:c r="E23" s="44" t="n">
        <x:f>'03_Ma_tran_goi'!L24</x:f>
        <x:v>4</x:v>
      </x:c>
      <x:c r="F23" s="44" t="n">
        <x:f>D23-E23</x:f>
        <x:v>0</x:v>
      </x:c>
      <x:c r="G23" s="80" t="n">
        <x:f>IF(D23=0,0,E23/D23)</x:f>
        <x:v>1</x:v>
      </x:c>
      <x:c r="H23" s="44" t="str">
        <x:f>IF(E23&gt;D23,"VƯỢT CAP",IF(E23=D23,"HẾT","OK"))</x:f>
        <x:v>HẾT</x:v>
      </x:c>
      <x:c r="I23" s="44" t="str">
        <x:f>IF(H23="VƯỢT CAP","Cam kết vượt kho quyền lợi",IF(G23&gt;=1,"Dùng hết cap",IF(G23&gt;=0.9,"Tiệm cận cap","Trong ngưỡng kiểm soát")))</x:f>
        <x:v>Dùng hết cap</x:v>
      </x:c>
      <x:c r="J23" s="50" t="str">
        <x:f>IF(H23="VƯỢT CAP","Giảm quyền lợi/Max NTT hoặc mở thêm cap đã được phê duyệt",IF(G23&gt;=1,"Khóa FINAL trước khi ký; không cấp thêm",IF(G23&gt;=0.9,"Giữ buffer, theo dõi chặt","Theo dõi phân bổ thực tế")))</x:f>
        <x:v>Khóa FINAL trước khi ký; không cấp thêm</x:v>
      </x:c>
    </x:row>
    <x:row r="24">
      <x:c r="A24" s="49" t="str">
        <x:v>A20</x:v>
      </x:c>
      <x:c r="B24" s="44" t="str">
        <x:v>Truyền thông trên hệ sinh thái Báo Lao Động</x:v>
      </x:c>
      <x:c r="C24" s="44" t="str">
        <x:v>Logobox NTT cuối tin/bài về giải</x:v>
      </x:c>
      <x:c r="D24" s="44" t="n">
        <x:f>'03_Ma_tran_goi'!E25</x:f>
        <x:v>12</x:v>
      </x:c>
      <x:c r="E24" s="44" t="n">
        <x:f>'03_Ma_tran_goi'!L25</x:f>
        <x:v>12</x:v>
      </x:c>
      <x:c r="F24" s="44" t="n">
        <x:f>D24-E24</x:f>
        <x:v>0</x:v>
      </x:c>
      <x:c r="G24" s="80" t="n">
        <x:f>IF(D24=0,0,E24/D24)</x:f>
        <x:v>1</x:v>
      </x:c>
      <x:c r="H24" s="44" t="str">
        <x:f>IF(E24&gt;D24,"VƯỢT CAP",IF(E24=D24,"HẾT","OK"))</x:f>
        <x:v>HẾT</x:v>
      </x:c>
      <x:c r="I24" s="44" t="str">
        <x:f>IF(H24="VƯỢT CAP","Cam kết vượt kho quyền lợi",IF(G24&gt;=1,"Dùng hết cap",IF(G24&gt;=0.9,"Tiệm cận cap","Trong ngưỡng kiểm soát")))</x:f>
        <x:v>Dùng hết cap</x:v>
      </x:c>
      <x:c r="J24" s="50" t="str">
        <x:f>IF(H24="VƯỢT CAP","Giảm quyền lợi/Max NTT hoặc mở thêm cap đã được phê duyệt",IF(G24&gt;=1,"Khóa FINAL trước khi ký; không cấp thêm",IF(G24&gt;=0.9,"Giữ buffer, theo dõi chặt","Theo dõi phân bổ thực tế")))</x:f>
        <x:v>Khóa FINAL trước khi ký; không cấp thêm</x:v>
      </x:c>
    </x:row>
    <x:row r="25">
      <x:c r="A25" s="49" t="str">
        <x:v>A21</x:v>
      </x:c>
      <x:c r="B25" s="44" t="str">
        <x:v>Truyền thông trên hệ sinh thái Báo Lao Động</x:v>
      </x:c>
      <x:c r="C25" s="44" t="str">
        <x:v>Bài PR/Advertorial trên Laodong.vn</x:v>
      </x:c>
      <x:c r="D25" s="44" t="n">
        <x:f>'03_Ma_tran_goi'!E26</x:f>
        <x:v>18</x:v>
      </x:c>
      <x:c r="E25" s="44" t="n">
        <x:f>'03_Ma_tran_goi'!L26</x:f>
        <x:v>17</x:v>
      </x:c>
      <x:c r="F25" s="44" t="n">
        <x:f>D25-E25</x:f>
        <x:v>1</x:v>
      </x:c>
      <x:c r="G25" s="80" t="n">
        <x:f>IF(D25=0,0,E25/D25)</x:f>
        <x:v>0.9444444444444444</x:v>
      </x:c>
      <x:c r="H25" s="44" t="str">
        <x:f>IF(E25&gt;D25,"VƯỢT CAP",IF(E25=D25,"HẾT","OK"))</x:f>
        <x:v>OK</x:v>
      </x:c>
      <x:c r="I25" s="44" t="str">
        <x:f>IF(H25="VƯỢT CAP","Cam kết vượt kho quyền lợi",IF(G25&gt;=1,"Dùng hết cap",IF(G25&gt;=0.9,"Tiệm cận cap","Trong ngưỡng kiểm soát")))</x:f>
        <x:v>Tiệm cận cap</x:v>
      </x:c>
      <x:c r="J25" s="50" t="str">
        <x:f>IF(H25="VƯỢT CAP","Giảm quyền lợi/Max NTT hoặc mở thêm cap đã được phê duyệt",IF(G25&gt;=1,"Khóa FINAL trước khi ký; không cấp thêm",IF(G25&gt;=0.9,"Giữ buffer, theo dõi chặt","Theo dõi phân bổ thực tế")))</x:f>
        <x:v>Giữ buffer, theo dõi chặt</x:v>
      </x:c>
    </x:row>
    <x:row r="26">
      <x:c r="A26" s="49" t="str">
        <x:v>A22</x:v>
      </x:c>
      <x:c r="B26" s="44" t="str">
        <x:v>Truyền thông trên hệ sinh thái Báo Lao Động</x:v>
      </x:c>
      <x:c r="C26" s="44" t="str">
        <x:v>Banner quảng cáo riêng của Nhà tài trợ trên Laodong.vn</x:v>
      </x:c>
      <x:c r="D26" s="44" t="n">
        <x:f>'03_Ma_tran_goi'!E27</x:f>
        <x:v>10</x:v>
      </x:c>
      <x:c r="E26" s="44" t="n">
        <x:f>'03_Ma_tran_goi'!L27</x:f>
        <x:v>8</x:v>
      </x:c>
      <x:c r="F26" s="44" t="n">
        <x:f>D26-E26</x:f>
        <x:v>2</x:v>
      </x:c>
      <x:c r="G26" s="80" t="n">
        <x:f>IF(D26=0,0,E26/D26)</x:f>
        <x:v>0.8</x:v>
      </x:c>
      <x:c r="H26" s="44" t="str">
        <x:f>IF(E26&gt;D26,"VƯỢT CAP",IF(E26=D26,"HẾT","OK"))</x:f>
        <x:v>OK</x:v>
      </x:c>
      <x:c r="I26" s="44" t="str">
        <x:f>IF(H26="VƯỢT CAP","Cam kết vượt kho quyền lợi",IF(G26&gt;=1,"Dùng hết cap",IF(G26&gt;=0.9,"Tiệm cận cap","Trong ngưỡng kiểm soát")))</x:f>
        <x:v>Trong ngưỡng kiểm soát</x:v>
      </x:c>
      <x:c r="J26" s="50" t="str">
        <x:f>IF(H26="VƯỢT CAP","Giảm quyền lợi/Max NTT hoặc mở thêm cap đã được phê duyệt",IF(G26&gt;=1,"Khóa FINAL trước khi ký; không cấp thêm",IF(G26&gt;=0.9,"Giữ buffer, theo dõi chặt","Theo dõi phân bổ thực tế")))</x:f>
        <x:v>Theo dõi phân bổ thực tế</x:v>
      </x:c>
    </x:row>
    <x:row r="27">
      <x:c r="A27" s="49" t="str">
        <x:v>A23</x:v>
      </x:c>
      <x:c r="B27" s="44" t="str">
        <x:v>Truyền thông trên hệ sinh thái Báo Lao Động</x:v>
      </x:c>
      <x:c r="C27" s="44" t="str">
        <x:v>Nội dung social riêng ghi nhận Nhà tài trợ</x:v>
      </x:c>
      <x:c r="D27" s="44" t="n">
        <x:f>'03_Ma_tran_goi'!E28</x:f>
        <x:v>10</x:v>
      </x:c>
      <x:c r="E27" s="44" t="n">
        <x:f>'03_Ma_tran_goi'!L28</x:f>
        <x:v>9</x:v>
      </x:c>
      <x:c r="F27" s="44" t="n">
        <x:f>D27-E27</x:f>
        <x:v>1</x:v>
      </x:c>
      <x:c r="G27" s="80" t="n">
        <x:f>IF(D27=0,0,E27/D27)</x:f>
        <x:v>0.9</x:v>
      </x:c>
      <x:c r="H27" s="44" t="str">
        <x:f>IF(E27&gt;D27,"VƯỢT CAP",IF(E27=D27,"HẾT","OK"))</x:f>
        <x:v>OK</x:v>
      </x:c>
      <x:c r="I27" s="44" t="str">
        <x:f>IF(H27="VƯỢT CAP","Cam kết vượt kho quyền lợi",IF(G27&gt;=1,"Dùng hết cap",IF(G27&gt;=0.9,"Tiệm cận cap","Trong ngưỡng kiểm soát")))</x:f>
        <x:v>Tiệm cận cap</x:v>
      </x:c>
      <x:c r="J27" s="50" t="str">
        <x:f>IF(H27="VƯỢT CAP","Giảm quyền lợi/Max NTT hoặc mở thêm cap đã được phê duyệt",IF(G27&gt;=1,"Khóa FINAL trước khi ký; không cấp thêm",IF(G27&gt;=0.9,"Giữ buffer, theo dõi chặt","Theo dõi phân bổ thực tế")))</x:f>
        <x:v>Giữ buffer, theo dõi chặt</x:v>
      </x:c>
    </x:row>
    <x:row r="28">
      <x:c r="A28" s="49" t="str">
        <x:v>A24</x:v>
      </x:c>
      <x:c r="B28" s="44" t="str">
        <x:v>Truyền thông trên hệ sinh thái Báo Lao Động</x:v>
      </x:c>
      <x:c r="C28" s="44" t="str">
        <x:v>Logo trong video/clip recap chung</x:v>
      </x:c>
      <x:c r="D28" s="44" t="n">
        <x:f>'03_Ma_tran_goi'!E29</x:f>
        <x:v>12</x:v>
      </x:c>
      <x:c r="E28" s="44" t="n">
        <x:f>'03_Ma_tran_goi'!L29</x:f>
        <x:v>12</x:v>
      </x:c>
      <x:c r="F28" s="44" t="n">
        <x:f>D28-E28</x:f>
        <x:v>0</x:v>
      </x:c>
      <x:c r="G28" s="80" t="n">
        <x:f>IF(D28=0,0,E28/D28)</x:f>
        <x:v>1</x:v>
      </x:c>
      <x:c r="H28" s="44" t="str">
        <x:f>IF(E28&gt;D28,"VƯỢT CAP",IF(E28=D28,"HẾT","OK"))</x:f>
        <x:v>HẾT</x:v>
      </x:c>
      <x:c r="I28" s="44" t="str">
        <x:f>IF(H28="VƯỢT CAP","Cam kết vượt kho quyền lợi",IF(G28&gt;=1,"Dùng hết cap",IF(G28&gt;=0.9,"Tiệm cận cap","Trong ngưỡng kiểm soát")))</x:f>
        <x:v>Dùng hết cap</x:v>
      </x:c>
      <x:c r="J28" s="50" t="str">
        <x:f>IF(H28="VƯỢT CAP","Giảm quyền lợi/Max NTT hoặc mở thêm cap đã được phê duyệt",IF(G28&gt;=1,"Khóa FINAL trước khi ký; không cấp thêm",IF(G28&gt;=0.9,"Giữ buffer, theo dõi chặt","Theo dõi phân bổ thực tế")))</x:f>
        <x:v>Khóa FINAL trước khi ký; không cấp thêm</x:v>
      </x:c>
    </x:row>
    <x:row r="29">
      <x:c r="A29" s="51" t="str">
        <x:v>A25</x:v>
      </x:c>
      <x:c r="B29" s="52" t="str">
        <x:v>Truyền thông trên hệ sinh thái Báo Lao Động</x:v>
      </x:c>
      <x:c r="C29" s="52" t="str">
        <x:v>Bộ ảnh/video hậu sự kiện dành cho Nhà tài trợ</x:v>
      </x:c>
      <x:c r="D29" s="52" t="n">
        <x:f>'03_Ma_tran_goi'!E30</x:f>
        <x:v>8</x:v>
      </x:c>
      <x:c r="E29" s="52" t="n">
        <x:f>'03_Ma_tran_goi'!L30</x:f>
        <x:v>6</x:v>
      </x:c>
      <x:c r="F29" s="52" t="n">
        <x:f>D29-E29</x:f>
        <x:v>2</x:v>
      </x:c>
      <x:c r="G29" s="81" t="n">
        <x:f>IF(D29=0,0,E29/D29)</x:f>
        <x:v>0.75</x:v>
      </x:c>
      <x:c r="H29" s="52" t="str">
        <x:f>IF(E29&gt;D29,"VƯỢT CAP",IF(E29=D29,"HẾT","OK"))</x:f>
        <x:v>OK</x:v>
      </x:c>
      <x:c r="I29" s="52" t="str">
        <x:f>IF(H29="VƯỢT CAP","Cam kết vượt kho quyền lợi",IF(G29&gt;=1,"Dùng hết cap",IF(G29&gt;=0.9,"Tiệm cận cap","Trong ngưỡng kiểm soát")))</x:f>
        <x:v>Trong ngưỡng kiểm soát</x:v>
      </x:c>
      <x:c r="J29" s="53" t="str">
        <x:f>IF(H29="VƯỢT CAP","Giảm quyền lợi/Max NTT hoặc mở thêm cap đã được phê duyệt",IF(G29&gt;=1,"Khóa FINAL trước khi ký; không cấp thêm",IF(G29&gt;=0.9,"Giữ buffer, theo dõi chặt","Theo dõi phân bổ thực tế")))</x:f>
        <x:v>Theo dõi phân bổ thực tế</x:v>
      </x:c>
    </x:row>
    <x:row r="32">
      <x:c r="A32" s="46" t="str">
        <x:v>KPI</x:v>
      </x:c>
      <x:c r="B32" s="47" t="str">
        <x:v>Giá trị</x:v>
      </x:c>
      <x:c r="C32" s="47" t="str">
        <x:v>Ngưỡng/giải thích</x:v>
      </x:c>
      <x:c r="D32" s="48" t="str">
        <x:v>Kết luận</x:v>
      </x:c>
    </x:row>
    <x:row r="33">
      <x:c r="A33" s="84" t="str">
        <x:v>Số NTT tối đa theo cơ cấu</x:v>
      </x:c>
      <x:c r="B33" s="85" t="n">
        <x:f>'03_Ma_tran_goi'!F5+'03_Ma_tran_goi'!G5+'03_Ma_tran_goi'!H5+'03_Ma_tran_goi'!I5+'03_Ma_tran_goi'!J5+'03_Ma_tran_goi'!K5</x:f>
        <x:v>12</x:v>
      </x:c>
      <x:c r="C33" s="85" t="str">
        <x:v>12 NTT</x:v>
      </x:c>
      <x:c r="D33" s="86" t="str">
        <x:v>Giữ trần sponsor để bảo vệ layout logobox</x:v>
      </x:c>
    </x:row>
    <x:row r="34">
      <x:c r="A34" s="84" t="str">
        <x:v>Doanh thu tối đa 06 gói</x:v>
      </x:c>
      <x:c r="B34" s="95" t="n">
        <x:v>2950000000</x:v>
      </x:c>
      <x:c r="C34" s="85" t="str">
        <x:v>Chưa gồm HIO/giải kỹ thuật</x:v>
      </x:c>
      <x:c r="D34" s="86" t="str">
        <x:v>Cơ cấu doanh thu tham khảo</x:v>
      </x:c>
    </x:row>
    <x:row r="35">
      <x:c r="A35" s="84" t="str">
        <x:v>Asset vượt cap</x:v>
      </x:c>
      <x:c r="B35" s="85" t="n">
        <x:f>COUNTIF(H5:H29,"VƯỢT CAP")</x:f>
        <x:v>0</x:v>
      </x:c>
      <x:c r="C35" s="85" t="str">
        <x:v>Mục tiêu = 0</x:v>
      </x:c>
      <x:c r="D35" s="86" t="str">
        <x:v>Phải bằng 0 trước khi chốt</x:v>
      </x:c>
    </x:row>
    <x:row r="36">
      <x:c r="A36" s="87" t="str">
        <x:v>Asset dùng hết cap</x:v>
      </x:c>
      <x:c r="B36" s="88" t="n">
        <x:f>COUNTIF(H5:H29,"HẾT")</x:f>
        <x:v>12</x:v>
      </x:c>
      <x:c r="C36" s="88" t="str">
        <x:v>Cần khóa FINAL</x:v>
      </x:c>
      <x:c r="D36" s="89" t="str">
        <x:v>Không cấp thêm nếu chưa mở cap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0" hidden="0" customWidth="1"/>
    <x:col min="5" max="5" width="22" hidden="0" customWidth="1"/>
    <x:col min="6" max="6" width="18" hidden="0" customWidth="1"/>
    <x:col min="7" max="7" width="14" hidden="0" customWidth="1"/>
    <x:col min="8" max="8" width="20" hidden="0" customWidth="1"/>
    <x:col min="9" max="9" width="32" hidden="0" customWidth="1"/>
    <x:col min="10" max="10" width="40" hidden="0" customWidth="1"/>
  </x:cols>
  <x:sheetData>
    <x:row r="1">
      <x:c r="A1" s="65" t="str">
        <x:v>THEO DÕI PHÂN BỔ QUYỀN LỢI THỰC TẾ THEO NHÀ TÀI TRỢ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2">
      <x:c r="A2" s="97" t="str">
        <x:v>Chỉ nhập quyền lợi đã được duyệt/ghi vào hợp đồng. Cột Mã asset và Số lượng là đầu vào để Asset Master tự trừ kho.</x:v>
      </x:c>
      <x:c r="B2" s="97"/>
      <x:c r="C2" s="97"/>
      <x:c r="D2" s="97"/>
      <x:c r="E2" s="97"/>
      <x:c r="F2" s="97"/>
      <x:c r="G2" s="97"/>
      <x:c r="H2" s="97"/>
      <x:c r="I2" s="97"/>
      <x:c r="J2" s="97"/>
    </x:row>
    <x:row r="4">
      <x:c r="A4" s="46" t="str">
        <x:v>Nhà tài trợ</x:v>
      </x:c>
      <x:c r="B4" s="47" t="str">
        <x:v>Gói</x:v>
      </x:c>
      <x:c r="C4" s="47" t="str">
        <x:v>Mã asset</x:v>
      </x:c>
      <x:c r="D4" s="47" t="str">
        <x:v>Số lượng</x:v>
      </x:c>
      <x:c r="E4" s="47" t="str">
        <x:v>Thời gian/vị trí</x:v>
      </x:c>
      <x:c r="F4" s="47" t="str">
        <x:v>Phụ trách</x:v>
      </x:c>
      <x:c r="G4" s="47" t="str">
        <x:v>Deadline</x:v>
      </x:c>
      <x:c r="H4" s="47" t="str">
        <x:v>Trạng thái</x:v>
      </x:c>
      <x:c r="I4" s="47" t="str">
        <x:v>Bằng chứng/link</x:v>
      </x:c>
      <x:c r="J4" s="48" t="str">
        <x:v>Ghi chú</x:v>
      </x:c>
    </x:row>
    <x:row r="5">
      <x:c r="A5" s="99"/>
      <x:c r="B5" s="74"/>
      <x:c r="C5" s="74"/>
      <x:c r="D5" s="74"/>
      <x:c r="E5" s="44"/>
      <x:c r="F5" s="44"/>
      <x:c r="G5" s="44"/>
      <x:c r="H5" s="44"/>
      <x:c r="I5" s="44"/>
      <x:c r="J5" s="50"/>
    </x:row>
    <x:row r="6">
      <x:c r="A6" s="99"/>
      <x:c r="B6" s="74"/>
      <x:c r="C6" s="74"/>
      <x:c r="D6" s="74"/>
      <x:c r="E6" s="44"/>
      <x:c r="F6" s="44"/>
      <x:c r="G6" s="44"/>
      <x:c r="H6" s="44"/>
      <x:c r="I6" s="44"/>
      <x:c r="J6" s="50"/>
    </x:row>
    <x:row r="7">
      <x:c r="A7" s="99"/>
      <x:c r="B7" s="74"/>
      <x:c r="C7" s="74"/>
      <x:c r="D7" s="74"/>
      <x:c r="E7" s="44"/>
      <x:c r="F7" s="44"/>
      <x:c r="G7" s="44"/>
      <x:c r="H7" s="44"/>
      <x:c r="I7" s="44"/>
      <x:c r="J7" s="50"/>
    </x:row>
    <x:row r="8">
      <x:c r="A8" s="99"/>
      <x:c r="B8" s="74"/>
      <x:c r="C8" s="74"/>
      <x:c r="D8" s="74"/>
      <x:c r="E8" s="44"/>
      <x:c r="F8" s="44"/>
      <x:c r="G8" s="44"/>
      <x:c r="H8" s="44"/>
      <x:c r="I8" s="44"/>
      <x:c r="J8" s="50"/>
    </x:row>
    <x:row r="9">
      <x:c r="A9" s="99"/>
      <x:c r="B9" s="74"/>
      <x:c r="C9" s="74"/>
      <x:c r="D9" s="74"/>
      <x:c r="E9" s="44"/>
      <x:c r="F9" s="44"/>
      <x:c r="G9" s="44"/>
      <x:c r="H9" s="44"/>
      <x:c r="I9" s="44"/>
      <x:c r="J9" s="50"/>
    </x:row>
    <x:row r="10">
      <x:c r="A10" s="99"/>
      <x:c r="B10" s="74"/>
      <x:c r="C10" s="74"/>
      <x:c r="D10" s="74"/>
      <x:c r="E10" s="44"/>
      <x:c r="F10" s="44"/>
      <x:c r="G10" s="44"/>
      <x:c r="H10" s="44"/>
      <x:c r="I10" s="44"/>
      <x:c r="J10" s="50"/>
    </x:row>
    <x:row r="11">
      <x:c r="A11" s="99"/>
      <x:c r="B11" s="74"/>
      <x:c r="C11" s="74"/>
      <x:c r="D11" s="74"/>
      <x:c r="E11" s="44"/>
      <x:c r="F11" s="44"/>
      <x:c r="G11" s="44"/>
      <x:c r="H11" s="44"/>
      <x:c r="I11" s="44"/>
      <x:c r="J11" s="50"/>
    </x:row>
    <x:row r="12">
      <x:c r="A12" s="99"/>
      <x:c r="B12" s="74"/>
      <x:c r="C12" s="74"/>
      <x:c r="D12" s="74"/>
      <x:c r="E12" s="44"/>
      <x:c r="F12" s="44"/>
      <x:c r="G12" s="44"/>
      <x:c r="H12" s="44"/>
      <x:c r="I12" s="44"/>
      <x:c r="J12" s="50"/>
    </x:row>
    <x:row r="13">
      <x:c r="A13" s="99"/>
      <x:c r="B13" s="74"/>
      <x:c r="C13" s="74"/>
      <x:c r="D13" s="74"/>
      <x:c r="E13" s="44"/>
      <x:c r="F13" s="44"/>
      <x:c r="G13" s="44"/>
      <x:c r="H13" s="44"/>
      <x:c r="I13" s="44"/>
      <x:c r="J13" s="50"/>
    </x:row>
    <x:row r="14">
      <x:c r="A14" s="99"/>
      <x:c r="B14" s="74"/>
      <x:c r="C14" s="74"/>
      <x:c r="D14" s="74"/>
      <x:c r="E14" s="44"/>
      <x:c r="F14" s="44"/>
      <x:c r="G14" s="44"/>
      <x:c r="H14" s="44"/>
      <x:c r="I14" s="44"/>
      <x:c r="J14" s="50"/>
    </x:row>
    <x:row r="15">
      <x:c r="A15" s="99"/>
      <x:c r="B15" s="74"/>
      <x:c r="C15" s="74"/>
      <x:c r="D15" s="74"/>
      <x:c r="E15" s="44"/>
      <x:c r="F15" s="44"/>
      <x:c r="G15" s="44"/>
      <x:c r="H15" s="44"/>
      <x:c r="I15" s="44"/>
      <x:c r="J15" s="50"/>
    </x:row>
    <x:row r="16">
      <x:c r="A16" s="99"/>
      <x:c r="B16" s="74"/>
      <x:c r="C16" s="74"/>
      <x:c r="D16" s="74"/>
      <x:c r="E16" s="44"/>
      <x:c r="F16" s="44"/>
      <x:c r="G16" s="44"/>
      <x:c r="H16" s="44"/>
      <x:c r="I16" s="44"/>
      <x:c r="J16" s="50"/>
    </x:row>
    <x:row r="17">
      <x:c r="A17" s="99"/>
      <x:c r="B17" s="74"/>
      <x:c r="C17" s="74"/>
      <x:c r="D17" s="74"/>
      <x:c r="E17" s="44"/>
      <x:c r="F17" s="44"/>
      <x:c r="G17" s="44"/>
      <x:c r="H17" s="44"/>
      <x:c r="I17" s="44"/>
      <x:c r="J17" s="50"/>
    </x:row>
    <x:row r="18">
      <x:c r="A18" s="99"/>
      <x:c r="B18" s="74"/>
      <x:c r="C18" s="74"/>
      <x:c r="D18" s="74"/>
      <x:c r="E18" s="44"/>
      <x:c r="F18" s="44"/>
      <x:c r="G18" s="44"/>
      <x:c r="H18" s="44"/>
      <x:c r="I18" s="44"/>
      <x:c r="J18" s="50"/>
    </x:row>
    <x:row r="19">
      <x:c r="A19" s="99"/>
      <x:c r="B19" s="74"/>
      <x:c r="C19" s="74"/>
      <x:c r="D19" s="74"/>
      <x:c r="E19" s="44"/>
      <x:c r="F19" s="44"/>
      <x:c r="G19" s="44"/>
      <x:c r="H19" s="44"/>
      <x:c r="I19" s="44"/>
      <x:c r="J19" s="50"/>
    </x:row>
    <x:row r="20">
      <x:c r="A20" s="99"/>
      <x:c r="B20" s="74"/>
      <x:c r="C20" s="74"/>
      <x:c r="D20" s="74"/>
      <x:c r="E20" s="44"/>
      <x:c r="F20" s="44"/>
      <x:c r="G20" s="44"/>
      <x:c r="H20" s="44"/>
      <x:c r="I20" s="44"/>
      <x:c r="J20" s="50"/>
    </x:row>
    <x:row r="21">
      <x:c r="A21" s="99"/>
      <x:c r="B21" s="74"/>
      <x:c r="C21" s="74"/>
      <x:c r="D21" s="74"/>
      <x:c r="E21" s="44"/>
      <x:c r="F21" s="44"/>
      <x:c r="G21" s="44"/>
      <x:c r="H21" s="44"/>
      <x:c r="I21" s="44"/>
      <x:c r="J21" s="50"/>
    </x:row>
    <x:row r="22">
      <x:c r="A22" s="99"/>
      <x:c r="B22" s="74"/>
      <x:c r="C22" s="74"/>
      <x:c r="D22" s="74"/>
      <x:c r="E22" s="44"/>
      <x:c r="F22" s="44"/>
      <x:c r="G22" s="44"/>
      <x:c r="H22" s="44"/>
      <x:c r="I22" s="44"/>
      <x:c r="J22" s="50"/>
    </x:row>
    <x:row r="23">
      <x:c r="A23" s="99"/>
      <x:c r="B23" s="74"/>
      <x:c r="C23" s="74"/>
      <x:c r="D23" s="74"/>
      <x:c r="E23" s="44"/>
      <x:c r="F23" s="44"/>
      <x:c r="G23" s="44"/>
      <x:c r="H23" s="44"/>
      <x:c r="I23" s="44"/>
      <x:c r="J23" s="50"/>
    </x:row>
    <x:row r="24">
      <x:c r="A24" s="99"/>
      <x:c r="B24" s="74"/>
      <x:c r="C24" s="74"/>
      <x:c r="D24" s="74"/>
      <x:c r="E24" s="44"/>
      <x:c r="F24" s="44"/>
      <x:c r="G24" s="44"/>
      <x:c r="H24" s="44"/>
      <x:c r="I24" s="44"/>
      <x:c r="J24" s="50"/>
    </x:row>
    <x:row r="25">
      <x:c r="A25" s="99"/>
      <x:c r="B25" s="74"/>
      <x:c r="C25" s="74"/>
      <x:c r="D25" s="74"/>
      <x:c r="E25" s="44"/>
      <x:c r="F25" s="44"/>
      <x:c r="G25" s="44"/>
      <x:c r="H25" s="44"/>
      <x:c r="I25" s="44"/>
      <x:c r="J25" s="50"/>
    </x:row>
    <x:row r="26">
      <x:c r="A26" s="99"/>
      <x:c r="B26" s="74"/>
      <x:c r="C26" s="74"/>
      <x:c r="D26" s="74"/>
      <x:c r="E26" s="44"/>
      <x:c r="F26" s="44"/>
      <x:c r="G26" s="44"/>
      <x:c r="H26" s="44"/>
      <x:c r="I26" s="44"/>
      <x:c r="J26" s="50"/>
    </x:row>
    <x:row r="27">
      <x:c r="A27" s="99"/>
      <x:c r="B27" s="74"/>
      <x:c r="C27" s="74"/>
      <x:c r="D27" s="74"/>
      <x:c r="E27" s="44"/>
      <x:c r="F27" s="44"/>
      <x:c r="G27" s="44"/>
      <x:c r="H27" s="44"/>
      <x:c r="I27" s="44"/>
      <x:c r="J27" s="50"/>
    </x:row>
    <x:row r="28">
      <x:c r="A28" s="99"/>
      <x:c r="B28" s="74"/>
      <x:c r="C28" s="74"/>
      <x:c r="D28" s="74"/>
      <x:c r="E28" s="44"/>
      <x:c r="F28" s="44"/>
      <x:c r="G28" s="44"/>
      <x:c r="H28" s="44"/>
      <x:c r="I28" s="44"/>
      <x:c r="J28" s="50"/>
    </x:row>
    <x:row r="29">
      <x:c r="A29" s="99"/>
      <x:c r="B29" s="74"/>
      <x:c r="C29" s="74"/>
      <x:c r="D29" s="74"/>
      <x:c r="E29" s="44"/>
      <x:c r="F29" s="44"/>
      <x:c r="G29" s="44"/>
      <x:c r="H29" s="44"/>
      <x:c r="I29" s="44"/>
      <x:c r="J29" s="50"/>
    </x:row>
    <x:row r="30">
      <x:c r="A30" s="99"/>
      <x:c r="B30" s="74"/>
      <x:c r="C30" s="74"/>
      <x:c r="D30" s="74"/>
      <x:c r="E30" s="44"/>
      <x:c r="F30" s="44"/>
      <x:c r="G30" s="44"/>
      <x:c r="H30" s="44"/>
      <x:c r="I30" s="44"/>
      <x:c r="J30" s="50"/>
    </x:row>
    <x:row r="31">
      <x:c r="A31" s="99"/>
      <x:c r="B31" s="74"/>
      <x:c r="C31" s="74"/>
      <x:c r="D31" s="74"/>
      <x:c r="E31" s="44"/>
      <x:c r="F31" s="44"/>
      <x:c r="G31" s="44"/>
      <x:c r="H31" s="44"/>
      <x:c r="I31" s="44"/>
      <x:c r="J31" s="50"/>
    </x:row>
    <x:row r="32">
      <x:c r="A32" s="99"/>
      <x:c r="B32" s="74"/>
      <x:c r="C32" s="74"/>
      <x:c r="D32" s="74"/>
      <x:c r="E32" s="44"/>
      <x:c r="F32" s="44"/>
      <x:c r="G32" s="44"/>
      <x:c r="H32" s="44"/>
      <x:c r="I32" s="44"/>
      <x:c r="J32" s="50"/>
    </x:row>
    <x:row r="33">
      <x:c r="A33" s="99"/>
      <x:c r="B33" s="74"/>
      <x:c r="C33" s="74"/>
      <x:c r="D33" s="74"/>
      <x:c r="E33" s="44"/>
      <x:c r="F33" s="44"/>
      <x:c r="G33" s="44"/>
      <x:c r="H33" s="44"/>
      <x:c r="I33" s="44"/>
      <x:c r="J33" s="50"/>
    </x:row>
    <x:row r="34">
      <x:c r="A34" s="99"/>
      <x:c r="B34" s="74"/>
      <x:c r="C34" s="74"/>
      <x:c r="D34" s="74"/>
      <x:c r="E34" s="44"/>
      <x:c r="F34" s="44"/>
      <x:c r="G34" s="44"/>
      <x:c r="H34" s="44"/>
      <x:c r="I34" s="44"/>
      <x:c r="J34" s="50"/>
    </x:row>
    <x:row r="35">
      <x:c r="A35" s="99"/>
      <x:c r="B35" s="74"/>
      <x:c r="C35" s="74"/>
      <x:c r="D35" s="74"/>
      <x:c r="E35" s="44"/>
      <x:c r="F35" s="44"/>
      <x:c r="G35" s="44"/>
      <x:c r="H35" s="44"/>
      <x:c r="I35" s="44"/>
      <x:c r="J35" s="50"/>
    </x:row>
    <x:row r="36">
      <x:c r="A36" s="99"/>
      <x:c r="B36" s="74"/>
      <x:c r="C36" s="74"/>
      <x:c r="D36" s="74"/>
      <x:c r="E36" s="44"/>
      <x:c r="F36" s="44"/>
      <x:c r="G36" s="44"/>
      <x:c r="H36" s="44"/>
      <x:c r="I36" s="44"/>
      <x:c r="J36" s="50"/>
    </x:row>
    <x:row r="37">
      <x:c r="A37" s="99"/>
      <x:c r="B37" s="74"/>
      <x:c r="C37" s="74"/>
      <x:c r="D37" s="74"/>
      <x:c r="E37" s="44"/>
      <x:c r="F37" s="44"/>
      <x:c r="G37" s="44"/>
      <x:c r="H37" s="44"/>
      <x:c r="I37" s="44"/>
      <x:c r="J37" s="50"/>
    </x:row>
    <x:row r="38">
      <x:c r="A38" s="99"/>
      <x:c r="B38" s="74"/>
      <x:c r="C38" s="74"/>
      <x:c r="D38" s="74"/>
      <x:c r="E38" s="44"/>
      <x:c r="F38" s="44"/>
      <x:c r="G38" s="44"/>
      <x:c r="H38" s="44"/>
      <x:c r="I38" s="44"/>
      <x:c r="J38" s="50"/>
    </x:row>
    <x:row r="39">
      <x:c r="A39" s="99"/>
      <x:c r="B39" s="74"/>
      <x:c r="C39" s="74"/>
      <x:c r="D39" s="74"/>
      <x:c r="E39" s="44"/>
      <x:c r="F39" s="44"/>
      <x:c r="G39" s="44"/>
      <x:c r="H39" s="44"/>
      <x:c r="I39" s="44"/>
      <x:c r="J39" s="50"/>
    </x:row>
    <x:row r="40">
      <x:c r="A40" s="99"/>
      <x:c r="B40" s="74"/>
      <x:c r="C40" s="74"/>
      <x:c r="D40" s="74"/>
      <x:c r="E40" s="44"/>
      <x:c r="F40" s="44"/>
      <x:c r="G40" s="44"/>
      <x:c r="H40" s="44"/>
      <x:c r="I40" s="44"/>
      <x:c r="J40" s="50"/>
    </x:row>
    <x:row r="41">
      <x:c r="A41" s="99"/>
      <x:c r="B41" s="74"/>
      <x:c r="C41" s="74"/>
      <x:c r="D41" s="74"/>
      <x:c r="E41" s="44"/>
      <x:c r="F41" s="44"/>
      <x:c r="G41" s="44"/>
      <x:c r="H41" s="44"/>
      <x:c r="I41" s="44"/>
      <x:c r="J41" s="50"/>
    </x:row>
    <x:row r="42">
      <x:c r="A42" s="99"/>
      <x:c r="B42" s="74"/>
      <x:c r="C42" s="74"/>
      <x:c r="D42" s="74"/>
      <x:c r="E42" s="44"/>
      <x:c r="F42" s="44"/>
      <x:c r="G42" s="44"/>
      <x:c r="H42" s="44"/>
      <x:c r="I42" s="44"/>
      <x:c r="J42" s="50"/>
    </x:row>
    <x:row r="43">
      <x:c r="A43" s="99"/>
      <x:c r="B43" s="74"/>
      <x:c r="C43" s="74"/>
      <x:c r="D43" s="74"/>
      <x:c r="E43" s="44"/>
      <x:c r="F43" s="44"/>
      <x:c r="G43" s="44"/>
      <x:c r="H43" s="44"/>
      <x:c r="I43" s="44"/>
      <x:c r="J43" s="50"/>
    </x:row>
    <x:row r="44">
      <x:c r="A44" s="99"/>
      <x:c r="B44" s="74"/>
      <x:c r="C44" s="74"/>
      <x:c r="D44" s="74"/>
      <x:c r="E44" s="44"/>
      <x:c r="F44" s="44"/>
      <x:c r="G44" s="44"/>
      <x:c r="H44" s="44"/>
      <x:c r="I44" s="44"/>
      <x:c r="J44" s="50"/>
    </x:row>
    <x:row r="45">
      <x:c r="A45" s="99"/>
      <x:c r="B45" s="74"/>
      <x:c r="C45" s="74"/>
      <x:c r="D45" s="74"/>
      <x:c r="E45" s="44"/>
      <x:c r="F45" s="44"/>
      <x:c r="G45" s="44"/>
      <x:c r="H45" s="44"/>
      <x:c r="I45" s="44"/>
      <x:c r="J45" s="50"/>
    </x:row>
    <x:row r="46">
      <x:c r="A46" s="99"/>
      <x:c r="B46" s="74"/>
      <x:c r="C46" s="74"/>
      <x:c r="D46" s="74"/>
      <x:c r="E46" s="44"/>
      <x:c r="F46" s="44"/>
      <x:c r="G46" s="44"/>
      <x:c r="H46" s="44"/>
      <x:c r="I46" s="44"/>
      <x:c r="J46" s="50"/>
    </x:row>
    <x:row r="47">
      <x:c r="A47" s="99"/>
      <x:c r="B47" s="74"/>
      <x:c r="C47" s="74"/>
      <x:c r="D47" s="74"/>
      <x:c r="E47" s="44"/>
      <x:c r="F47" s="44"/>
      <x:c r="G47" s="44"/>
      <x:c r="H47" s="44"/>
      <x:c r="I47" s="44"/>
      <x:c r="J47" s="50"/>
    </x:row>
    <x:row r="48">
      <x:c r="A48" s="99"/>
      <x:c r="B48" s="74"/>
      <x:c r="C48" s="74"/>
      <x:c r="D48" s="74"/>
      <x:c r="E48" s="44"/>
      <x:c r="F48" s="44"/>
      <x:c r="G48" s="44"/>
      <x:c r="H48" s="44"/>
      <x:c r="I48" s="44"/>
      <x:c r="J48" s="50"/>
    </x:row>
    <x:row r="49">
      <x:c r="A49" s="99"/>
      <x:c r="B49" s="74"/>
      <x:c r="C49" s="74"/>
      <x:c r="D49" s="74"/>
      <x:c r="E49" s="44"/>
      <x:c r="F49" s="44"/>
      <x:c r="G49" s="44"/>
      <x:c r="H49" s="44"/>
      <x:c r="I49" s="44"/>
      <x:c r="J49" s="50"/>
    </x:row>
    <x:row r="50">
      <x:c r="A50" s="99"/>
      <x:c r="B50" s="74"/>
      <x:c r="C50" s="74"/>
      <x:c r="D50" s="74"/>
      <x:c r="E50" s="44"/>
      <x:c r="F50" s="44"/>
      <x:c r="G50" s="44"/>
      <x:c r="H50" s="44"/>
      <x:c r="I50" s="44"/>
      <x:c r="J50" s="50"/>
    </x:row>
    <x:row r="51">
      <x:c r="A51" s="99"/>
      <x:c r="B51" s="74"/>
      <x:c r="C51" s="74"/>
      <x:c r="D51" s="74"/>
      <x:c r="E51" s="44"/>
      <x:c r="F51" s="44"/>
      <x:c r="G51" s="44"/>
      <x:c r="H51" s="44"/>
      <x:c r="I51" s="44"/>
      <x:c r="J51" s="50"/>
    </x:row>
    <x:row r="52">
      <x:c r="A52" s="99"/>
      <x:c r="B52" s="74"/>
      <x:c r="C52" s="74"/>
      <x:c r="D52" s="74"/>
      <x:c r="E52" s="44"/>
      <x:c r="F52" s="44"/>
      <x:c r="G52" s="44"/>
      <x:c r="H52" s="44"/>
      <x:c r="I52" s="44"/>
      <x:c r="J52" s="50"/>
    </x:row>
    <x:row r="53">
      <x:c r="A53" s="99"/>
      <x:c r="B53" s="74"/>
      <x:c r="C53" s="74"/>
      <x:c r="D53" s="74"/>
      <x:c r="E53" s="44"/>
      <x:c r="F53" s="44"/>
      <x:c r="G53" s="44"/>
      <x:c r="H53" s="44"/>
      <x:c r="I53" s="44"/>
      <x:c r="J53" s="50"/>
    </x:row>
    <x:row r="54">
      <x:c r="A54" s="99"/>
      <x:c r="B54" s="74"/>
      <x:c r="C54" s="74"/>
      <x:c r="D54" s="74"/>
      <x:c r="E54" s="44"/>
      <x:c r="F54" s="44"/>
      <x:c r="G54" s="44"/>
      <x:c r="H54" s="44"/>
      <x:c r="I54" s="44"/>
      <x:c r="J54" s="50"/>
    </x:row>
    <x:row r="55">
      <x:c r="A55" s="99"/>
      <x:c r="B55" s="74"/>
      <x:c r="C55" s="74"/>
      <x:c r="D55" s="74"/>
      <x:c r="E55" s="44"/>
      <x:c r="F55" s="44"/>
      <x:c r="G55" s="44"/>
      <x:c r="H55" s="44"/>
      <x:c r="I55" s="44"/>
      <x:c r="J55" s="50"/>
    </x:row>
    <x:row r="56">
      <x:c r="A56" s="99"/>
      <x:c r="B56" s="74"/>
      <x:c r="C56" s="74"/>
      <x:c r="D56" s="74"/>
      <x:c r="E56" s="44"/>
      <x:c r="F56" s="44"/>
      <x:c r="G56" s="44"/>
      <x:c r="H56" s="44"/>
      <x:c r="I56" s="44"/>
      <x:c r="J56" s="50"/>
    </x:row>
    <x:row r="57">
      <x:c r="A57" s="99"/>
      <x:c r="B57" s="74"/>
      <x:c r="C57" s="74"/>
      <x:c r="D57" s="74"/>
      <x:c r="E57" s="44"/>
      <x:c r="F57" s="44"/>
      <x:c r="G57" s="44"/>
      <x:c r="H57" s="44"/>
      <x:c r="I57" s="44"/>
      <x:c r="J57" s="50"/>
    </x:row>
    <x:row r="58">
      <x:c r="A58" s="99"/>
      <x:c r="B58" s="74"/>
      <x:c r="C58" s="74"/>
      <x:c r="D58" s="74"/>
      <x:c r="E58" s="44"/>
      <x:c r="F58" s="44"/>
      <x:c r="G58" s="44"/>
      <x:c r="H58" s="44"/>
      <x:c r="I58" s="44"/>
      <x:c r="J58" s="50"/>
    </x:row>
    <x:row r="59">
      <x:c r="A59" s="99"/>
      <x:c r="B59" s="74"/>
      <x:c r="C59" s="74"/>
      <x:c r="D59" s="74"/>
      <x:c r="E59" s="44"/>
      <x:c r="F59" s="44"/>
      <x:c r="G59" s="44"/>
      <x:c r="H59" s="44"/>
      <x:c r="I59" s="44"/>
      <x:c r="J59" s="50"/>
    </x:row>
    <x:row r="60">
      <x:c r="A60" s="99"/>
      <x:c r="B60" s="74"/>
      <x:c r="C60" s="74"/>
      <x:c r="D60" s="74"/>
      <x:c r="E60" s="44"/>
      <x:c r="F60" s="44"/>
      <x:c r="G60" s="44"/>
      <x:c r="H60" s="44"/>
      <x:c r="I60" s="44"/>
      <x:c r="J60" s="50"/>
    </x:row>
    <x:row r="61">
      <x:c r="A61" s="99"/>
      <x:c r="B61" s="74"/>
      <x:c r="C61" s="74"/>
      <x:c r="D61" s="74"/>
      <x:c r="E61" s="44"/>
      <x:c r="F61" s="44"/>
      <x:c r="G61" s="44"/>
      <x:c r="H61" s="44"/>
      <x:c r="I61" s="44"/>
      <x:c r="J61" s="50"/>
    </x:row>
    <x:row r="62">
      <x:c r="A62" s="99"/>
      <x:c r="B62" s="74"/>
      <x:c r="C62" s="74"/>
      <x:c r="D62" s="74"/>
      <x:c r="E62" s="44"/>
      <x:c r="F62" s="44"/>
      <x:c r="G62" s="44"/>
      <x:c r="H62" s="44"/>
      <x:c r="I62" s="44"/>
      <x:c r="J62" s="50"/>
    </x:row>
    <x:row r="63">
      <x:c r="A63" s="99"/>
      <x:c r="B63" s="74"/>
      <x:c r="C63" s="74"/>
      <x:c r="D63" s="74"/>
      <x:c r="E63" s="44"/>
      <x:c r="F63" s="44"/>
      <x:c r="G63" s="44"/>
      <x:c r="H63" s="44"/>
      <x:c r="I63" s="44"/>
      <x:c r="J63" s="50"/>
    </x:row>
    <x:row r="64">
      <x:c r="A64" s="99"/>
      <x:c r="B64" s="74"/>
      <x:c r="C64" s="74"/>
      <x:c r="D64" s="74"/>
      <x:c r="E64" s="44"/>
      <x:c r="F64" s="44"/>
      <x:c r="G64" s="44"/>
      <x:c r="H64" s="44"/>
      <x:c r="I64" s="44"/>
      <x:c r="J64" s="50"/>
    </x:row>
    <x:row r="65">
      <x:c r="A65" s="99"/>
      <x:c r="B65" s="74"/>
      <x:c r="C65" s="74"/>
      <x:c r="D65" s="74"/>
      <x:c r="E65" s="44"/>
      <x:c r="F65" s="44"/>
      <x:c r="G65" s="44"/>
      <x:c r="H65" s="44"/>
      <x:c r="I65" s="44"/>
      <x:c r="J65" s="50"/>
    </x:row>
    <x:row r="66">
      <x:c r="A66" s="99"/>
      <x:c r="B66" s="74"/>
      <x:c r="C66" s="74"/>
      <x:c r="D66" s="74"/>
      <x:c r="E66" s="44"/>
      <x:c r="F66" s="44"/>
      <x:c r="G66" s="44"/>
      <x:c r="H66" s="44"/>
      <x:c r="I66" s="44"/>
      <x:c r="J66" s="50"/>
    </x:row>
    <x:row r="67">
      <x:c r="A67" s="99"/>
      <x:c r="B67" s="74"/>
      <x:c r="C67" s="74"/>
      <x:c r="D67" s="74"/>
      <x:c r="E67" s="44"/>
      <x:c r="F67" s="44"/>
      <x:c r="G67" s="44"/>
      <x:c r="H67" s="44"/>
      <x:c r="I67" s="44"/>
      <x:c r="J67" s="50"/>
    </x:row>
    <x:row r="68">
      <x:c r="A68" s="99"/>
      <x:c r="B68" s="74"/>
      <x:c r="C68" s="74"/>
      <x:c r="D68" s="74"/>
      <x:c r="E68" s="44"/>
      <x:c r="F68" s="44"/>
      <x:c r="G68" s="44"/>
      <x:c r="H68" s="44"/>
      <x:c r="I68" s="44"/>
      <x:c r="J68" s="50"/>
    </x:row>
    <x:row r="69">
      <x:c r="A69" s="99"/>
      <x:c r="B69" s="74"/>
      <x:c r="C69" s="74"/>
      <x:c r="D69" s="74"/>
      <x:c r="E69" s="44"/>
      <x:c r="F69" s="44"/>
      <x:c r="G69" s="44"/>
      <x:c r="H69" s="44"/>
      <x:c r="I69" s="44"/>
      <x:c r="J69" s="50"/>
    </x:row>
    <x:row r="70">
      <x:c r="A70" s="99"/>
      <x:c r="B70" s="74"/>
      <x:c r="C70" s="74"/>
      <x:c r="D70" s="74"/>
      <x:c r="E70" s="44"/>
      <x:c r="F70" s="44"/>
      <x:c r="G70" s="44"/>
      <x:c r="H70" s="44"/>
      <x:c r="I70" s="44"/>
      <x:c r="J70" s="50"/>
    </x:row>
    <x:row r="71">
      <x:c r="A71" s="99"/>
      <x:c r="B71" s="74"/>
      <x:c r="C71" s="74"/>
      <x:c r="D71" s="74"/>
      <x:c r="E71" s="44"/>
      <x:c r="F71" s="44"/>
      <x:c r="G71" s="44"/>
      <x:c r="H71" s="44"/>
      <x:c r="I71" s="44"/>
      <x:c r="J71" s="50"/>
    </x:row>
    <x:row r="72">
      <x:c r="A72" s="99"/>
      <x:c r="B72" s="74"/>
      <x:c r="C72" s="74"/>
      <x:c r="D72" s="74"/>
      <x:c r="E72" s="44"/>
      <x:c r="F72" s="44"/>
      <x:c r="G72" s="44"/>
      <x:c r="H72" s="44"/>
      <x:c r="I72" s="44"/>
      <x:c r="J72" s="50"/>
    </x:row>
    <x:row r="73">
      <x:c r="A73" s="99"/>
      <x:c r="B73" s="74"/>
      <x:c r="C73" s="74"/>
      <x:c r="D73" s="74"/>
      <x:c r="E73" s="44"/>
      <x:c r="F73" s="44"/>
      <x:c r="G73" s="44"/>
      <x:c r="H73" s="44"/>
      <x:c r="I73" s="44"/>
      <x:c r="J73" s="50"/>
    </x:row>
    <x:row r="74">
      <x:c r="A74" s="99"/>
      <x:c r="B74" s="74"/>
      <x:c r="C74" s="74"/>
      <x:c r="D74" s="74"/>
      <x:c r="E74" s="44"/>
      <x:c r="F74" s="44"/>
      <x:c r="G74" s="44"/>
      <x:c r="H74" s="44"/>
      <x:c r="I74" s="44"/>
      <x:c r="J74" s="50"/>
    </x:row>
    <x:row r="75">
      <x:c r="A75" s="99"/>
      <x:c r="B75" s="74"/>
      <x:c r="C75" s="74"/>
      <x:c r="D75" s="74"/>
      <x:c r="E75" s="44"/>
      <x:c r="F75" s="44"/>
      <x:c r="G75" s="44"/>
      <x:c r="H75" s="44"/>
      <x:c r="I75" s="44"/>
      <x:c r="J75" s="50"/>
    </x:row>
    <x:row r="76">
      <x:c r="A76" s="99"/>
      <x:c r="B76" s="74"/>
      <x:c r="C76" s="74"/>
      <x:c r="D76" s="74"/>
      <x:c r="E76" s="44"/>
      <x:c r="F76" s="44"/>
      <x:c r="G76" s="44"/>
      <x:c r="H76" s="44"/>
      <x:c r="I76" s="44"/>
      <x:c r="J76" s="50"/>
    </x:row>
    <x:row r="77">
      <x:c r="A77" s="99"/>
      <x:c r="B77" s="74"/>
      <x:c r="C77" s="74"/>
      <x:c r="D77" s="74"/>
      <x:c r="E77" s="44"/>
      <x:c r="F77" s="44"/>
      <x:c r="G77" s="44"/>
      <x:c r="H77" s="44"/>
      <x:c r="I77" s="44"/>
      <x:c r="J77" s="50"/>
    </x:row>
    <x:row r="78">
      <x:c r="A78" s="99"/>
      <x:c r="B78" s="74"/>
      <x:c r="C78" s="74"/>
      <x:c r="D78" s="74"/>
      <x:c r="E78" s="44"/>
      <x:c r="F78" s="44"/>
      <x:c r="G78" s="44"/>
      <x:c r="H78" s="44"/>
      <x:c r="I78" s="44"/>
      <x:c r="J78" s="50"/>
    </x:row>
    <x:row r="79">
      <x:c r="A79" s="99"/>
      <x:c r="B79" s="74"/>
      <x:c r="C79" s="74"/>
      <x:c r="D79" s="74"/>
      <x:c r="E79" s="44"/>
      <x:c r="F79" s="44"/>
      <x:c r="G79" s="44"/>
      <x:c r="H79" s="44"/>
      <x:c r="I79" s="44"/>
      <x:c r="J79" s="50"/>
    </x:row>
    <x:row r="80">
      <x:c r="A80" s="99"/>
      <x:c r="B80" s="74"/>
      <x:c r="C80" s="74"/>
      <x:c r="D80" s="74"/>
      <x:c r="E80" s="44"/>
      <x:c r="F80" s="44"/>
      <x:c r="G80" s="44"/>
      <x:c r="H80" s="44"/>
      <x:c r="I80" s="44"/>
      <x:c r="J80" s="50"/>
    </x:row>
    <x:row r="81">
      <x:c r="A81" s="99"/>
      <x:c r="B81" s="74"/>
      <x:c r="C81" s="74"/>
      <x:c r="D81" s="74"/>
      <x:c r="E81" s="44"/>
      <x:c r="F81" s="44"/>
      <x:c r="G81" s="44"/>
      <x:c r="H81" s="44"/>
      <x:c r="I81" s="44"/>
      <x:c r="J81" s="50"/>
    </x:row>
    <x:row r="82">
      <x:c r="A82" s="99"/>
      <x:c r="B82" s="74"/>
      <x:c r="C82" s="74"/>
      <x:c r="D82" s="74"/>
      <x:c r="E82" s="44"/>
      <x:c r="F82" s="44"/>
      <x:c r="G82" s="44"/>
      <x:c r="H82" s="44"/>
      <x:c r="I82" s="44"/>
      <x:c r="J82" s="50"/>
    </x:row>
    <x:row r="83">
      <x:c r="A83" s="99"/>
      <x:c r="B83" s="74"/>
      <x:c r="C83" s="74"/>
      <x:c r="D83" s="74"/>
      <x:c r="E83" s="44"/>
      <x:c r="F83" s="44"/>
      <x:c r="G83" s="44"/>
      <x:c r="H83" s="44"/>
      <x:c r="I83" s="44"/>
      <x:c r="J83" s="50"/>
    </x:row>
    <x:row r="84">
      <x:c r="A84" s="99"/>
      <x:c r="B84" s="74"/>
      <x:c r="C84" s="74"/>
      <x:c r="D84" s="74"/>
      <x:c r="E84" s="44"/>
      <x:c r="F84" s="44"/>
      <x:c r="G84" s="44"/>
      <x:c r="H84" s="44"/>
      <x:c r="I84" s="44"/>
      <x:c r="J84" s="50"/>
    </x:row>
    <x:row r="85">
      <x:c r="A85" s="99"/>
      <x:c r="B85" s="74"/>
      <x:c r="C85" s="74"/>
      <x:c r="D85" s="74"/>
      <x:c r="E85" s="44"/>
      <x:c r="F85" s="44"/>
      <x:c r="G85" s="44"/>
      <x:c r="H85" s="44"/>
      <x:c r="I85" s="44"/>
      <x:c r="J85" s="50"/>
    </x:row>
    <x:row r="86">
      <x:c r="A86" s="99"/>
      <x:c r="B86" s="74"/>
      <x:c r="C86" s="74"/>
      <x:c r="D86" s="74"/>
      <x:c r="E86" s="44"/>
      <x:c r="F86" s="44"/>
      <x:c r="G86" s="44"/>
      <x:c r="H86" s="44"/>
      <x:c r="I86" s="44"/>
      <x:c r="J86" s="50"/>
    </x:row>
    <x:row r="87">
      <x:c r="A87" s="99"/>
      <x:c r="B87" s="74"/>
      <x:c r="C87" s="74"/>
      <x:c r="D87" s="74"/>
      <x:c r="E87" s="44"/>
      <x:c r="F87" s="44"/>
      <x:c r="G87" s="44"/>
      <x:c r="H87" s="44"/>
      <x:c r="I87" s="44"/>
      <x:c r="J87" s="50"/>
    </x:row>
    <x:row r="88">
      <x:c r="A88" s="99"/>
      <x:c r="B88" s="74"/>
      <x:c r="C88" s="74"/>
      <x:c r="D88" s="74"/>
      <x:c r="E88" s="44"/>
      <x:c r="F88" s="44"/>
      <x:c r="G88" s="44"/>
      <x:c r="H88" s="44"/>
      <x:c r="I88" s="44"/>
      <x:c r="J88" s="50"/>
    </x:row>
    <x:row r="89">
      <x:c r="A89" s="99"/>
      <x:c r="B89" s="74"/>
      <x:c r="C89" s="74"/>
      <x:c r="D89" s="74"/>
      <x:c r="E89" s="44"/>
      <x:c r="F89" s="44"/>
      <x:c r="G89" s="44"/>
      <x:c r="H89" s="44"/>
      <x:c r="I89" s="44"/>
      <x:c r="J89" s="50"/>
    </x:row>
    <x:row r="90">
      <x:c r="A90" s="99"/>
      <x:c r="B90" s="74"/>
      <x:c r="C90" s="74"/>
      <x:c r="D90" s="74"/>
      <x:c r="E90" s="44"/>
      <x:c r="F90" s="44"/>
      <x:c r="G90" s="44"/>
      <x:c r="H90" s="44"/>
      <x:c r="I90" s="44"/>
      <x:c r="J90" s="50"/>
    </x:row>
    <x:row r="91">
      <x:c r="A91" s="99"/>
      <x:c r="B91" s="74"/>
      <x:c r="C91" s="74"/>
      <x:c r="D91" s="74"/>
      <x:c r="E91" s="44"/>
      <x:c r="F91" s="44"/>
      <x:c r="G91" s="44"/>
      <x:c r="H91" s="44"/>
      <x:c r="I91" s="44"/>
      <x:c r="J91" s="50"/>
    </x:row>
    <x:row r="92">
      <x:c r="A92" s="99"/>
      <x:c r="B92" s="74"/>
      <x:c r="C92" s="74"/>
      <x:c r="D92" s="74"/>
      <x:c r="E92" s="44"/>
      <x:c r="F92" s="44"/>
      <x:c r="G92" s="44"/>
      <x:c r="H92" s="44"/>
      <x:c r="I92" s="44"/>
      <x:c r="J92" s="50"/>
    </x:row>
    <x:row r="93">
      <x:c r="A93" s="99"/>
      <x:c r="B93" s="74"/>
      <x:c r="C93" s="74"/>
      <x:c r="D93" s="74"/>
      <x:c r="E93" s="44"/>
      <x:c r="F93" s="44"/>
      <x:c r="G93" s="44"/>
      <x:c r="H93" s="44"/>
      <x:c r="I93" s="44"/>
      <x:c r="J93" s="50"/>
    </x:row>
    <x:row r="94">
      <x:c r="A94" s="99"/>
      <x:c r="B94" s="74"/>
      <x:c r="C94" s="74"/>
      <x:c r="D94" s="74"/>
      <x:c r="E94" s="44"/>
      <x:c r="F94" s="44"/>
      <x:c r="G94" s="44"/>
      <x:c r="H94" s="44"/>
      <x:c r="I94" s="44"/>
      <x:c r="J94" s="50"/>
    </x:row>
    <x:row r="95">
      <x:c r="A95" s="99"/>
      <x:c r="B95" s="74"/>
      <x:c r="C95" s="74"/>
      <x:c r="D95" s="74"/>
      <x:c r="E95" s="44"/>
      <x:c r="F95" s="44"/>
      <x:c r="G95" s="44"/>
      <x:c r="H95" s="44"/>
      <x:c r="I95" s="44"/>
      <x:c r="J95" s="50"/>
    </x:row>
    <x:row r="96">
      <x:c r="A96" s="99"/>
      <x:c r="B96" s="74"/>
      <x:c r="C96" s="74"/>
      <x:c r="D96" s="74"/>
      <x:c r="E96" s="44"/>
      <x:c r="F96" s="44"/>
      <x:c r="G96" s="44"/>
      <x:c r="H96" s="44"/>
      <x:c r="I96" s="44"/>
      <x:c r="J96" s="50"/>
    </x:row>
    <x:row r="97">
      <x:c r="A97" s="99"/>
      <x:c r="B97" s="74"/>
      <x:c r="C97" s="74"/>
      <x:c r="D97" s="74"/>
      <x:c r="E97" s="44"/>
      <x:c r="F97" s="44"/>
      <x:c r="G97" s="44"/>
      <x:c r="H97" s="44"/>
      <x:c r="I97" s="44"/>
      <x:c r="J97" s="50"/>
    </x:row>
    <x:row r="98">
      <x:c r="A98" s="99"/>
      <x:c r="B98" s="74"/>
      <x:c r="C98" s="74"/>
      <x:c r="D98" s="74"/>
      <x:c r="E98" s="44"/>
      <x:c r="F98" s="44"/>
      <x:c r="G98" s="44"/>
      <x:c r="H98" s="44"/>
      <x:c r="I98" s="44"/>
      <x:c r="J98" s="50"/>
    </x:row>
    <x:row r="99">
      <x:c r="A99" s="99"/>
      <x:c r="B99" s="74"/>
      <x:c r="C99" s="74"/>
      <x:c r="D99" s="74"/>
      <x:c r="E99" s="44"/>
      <x:c r="F99" s="44"/>
      <x:c r="G99" s="44"/>
      <x:c r="H99" s="44"/>
      <x:c r="I99" s="44"/>
      <x:c r="J99" s="50"/>
    </x:row>
    <x:row r="100">
      <x:c r="A100" s="99"/>
      <x:c r="B100" s="74"/>
      <x:c r="C100" s="74"/>
      <x:c r="D100" s="74"/>
      <x:c r="E100" s="44"/>
      <x:c r="F100" s="44"/>
      <x:c r="G100" s="44"/>
      <x:c r="H100" s="44"/>
      <x:c r="I100" s="44"/>
      <x:c r="J100" s="50"/>
    </x:row>
    <x:row r="101">
      <x:c r="A101" s="99"/>
      <x:c r="B101" s="74"/>
      <x:c r="C101" s="74"/>
      <x:c r="D101" s="74"/>
      <x:c r="E101" s="44"/>
      <x:c r="F101" s="44"/>
      <x:c r="G101" s="44"/>
      <x:c r="H101" s="44"/>
      <x:c r="I101" s="44"/>
      <x:c r="J101" s="50"/>
    </x:row>
    <x:row r="102">
      <x:c r="A102" s="99"/>
      <x:c r="B102" s="74"/>
      <x:c r="C102" s="74"/>
      <x:c r="D102" s="74"/>
      <x:c r="E102" s="44"/>
      <x:c r="F102" s="44"/>
      <x:c r="G102" s="44"/>
      <x:c r="H102" s="44"/>
      <x:c r="I102" s="44"/>
      <x:c r="J102" s="50"/>
    </x:row>
    <x:row r="103">
      <x:c r="A103" s="99"/>
      <x:c r="B103" s="74"/>
      <x:c r="C103" s="74"/>
      <x:c r="D103" s="74"/>
      <x:c r="E103" s="44"/>
      <x:c r="F103" s="44"/>
      <x:c r="G103" s="44"/>
      <x:c r="H103" s="44"/>
      <x:c r="I103" s="44"/>
      <x:c r="J103" s="50"/>
    </x:row>
    <x:row r="104">
      <x:c r="A104" s="99"/>
      <x:c r="B104" s="74"/>
      <x:c r="C104" s="74"/>
      <x:c r="D104" s="74"/>
      <x:c r="E104" s="44"/>
      <x:c r="F104" s="44"/>
      <x:c r="G104" s="44"/>
      <x:c r="H104" s="44"/>
      <x:c r="I104" s="44"/>
      <x:c r="J104" s="50"/>
    </x:row>
    <x:row r="105">
      <x:c r="A105" s="99"/>
      <x:c r="B105" s="74"/>
      <x:c r="C105" s="74"/>
      <x:c r="D105" s="74"/>
      <x:c r="E105" s="44"/>
      <x:c r="F105" s="44"/>
      <x:c r="G105" s="44"/>
      <x:c r="H105" s="44"/>
      <x:c r="I105" s="44"/>
      <x:c r="J105" s="50"/>
    </x:row>
    <x:row r="106">
      <x:c r="A106" s="99"/>
      <x:c r="B106" s="74"/>
      <x:c r="C106" s="74"/>
      <x:c r="D106" s="74"/>
      <x:c r="E106" s="44"/>
      <x:c r="F106" s="44"/>
      <x:c r="G106" s="44"/>
      <x:c r="H106" s="44"/>
      <x:c r="I106" s="44"/>
      <x:c r="J106" s="50"/>
    </x:row>
    <x:row r="107">
      <x:c r="A107" s="99"/>
      <x:c r="B107" s="74"/>
      <x:c r="C107" s="74"/>
      <x:c r="D107" s="74"/>
      <x:c r="E107" s="44"/>
      <x:c r="F107" s="44"/>
      <x:c r="G107" s="44"/>
      <x:c r="H107" s="44"/>
      <x:c r="I107" s="44"/>
      <x:c r="J107" s="50"/>
    </x:row>
    <x:row r="108">
      <x:c r="A108" s="99"/>
      <x:c r="B108" s="74"/>
      <x:c r="C108" s="74"/>
      <x:c r="D108" s="74"/>
      <x:c r="E108" s="44"/>
      <x:c r="F108" s="44"/>
      <x:c r="G108" s="44"/>
      <x:c r="H108" s="44"/>
      <x:c r="I108" s="44"/>
      <x:c r="J108" s="50"/>
    </x:row>
    <x:row r="109">
      <x:c r="A109" s="99"/>
      <x:c r="B109" s="74"/>
      <x:c r="C109" s="74"/>
      <x:c r="D109" s="74"/>
      <x:c r="E109" s="44"/>
      <x:c r="F109" s="44"/>
      <x:c r="G109" s="44"/>
      <x:c r="H109" s="44"/>
      <x:c r="I109" s="44"/>
      <x:c r="J109" s="50"/>
    </x:row>
    <x:row r="110">
      <x:c r="A110" s="99"/>
      <x:c r="B110" s="74"/>
      <x:c r="C110" s="74"/>
      <x:c r="D110" s="74"/>
      <x:c r="E110" s="44"/>
      <x:c r="F110" s="44"/>
      <x:c r="G110" s="44"/>
      <x:c r="H110" s="44"/>
      <x:c r="I110" s="44"/>
      <x:c r="J110" s="50"/>
    </x:row>
    <x:row r="111">
      <x:c r="A111" s="99"/>
      <x:c r="B111" s="74"/>
      <x:c r="C111" s="74"/>
      <x:c r="D111" s="74"/>
      <x:c r="E111" s="44"/>
      <x:c r="F111" s="44"/>
      <x:c r="G111" s="44"/>
      <x:c r="H111" s="44"/>
      <x:c r="I111" s="44"/>
      <x:c r="J111" s="50"/>
    </x:row>
    <x:row r="112">
      <x:c r="A112" s="99"/>
      <x:c r="B112" s="74"/>
      <x:c r="C112" s="74"/>
      <x:c r="D112" s="74"/>
      <x:c r="E112" s="44"/>
      <x:c r="F112" s="44"/>
      <x:c r="G112" s="44"/>
      <x:c r="H112" s="44"/>
      <x:c r="I112" s="44"/>
      <x:c r="J112" s="50"/>
    </x:row>
    <x:row r="113">
      <x:c r="A113" s="99"/>
      <x:c r="B113" s="74"/>
      <x:c r="C113" s="74"/>
      <x:c r="D113" s="74"/>
      <x:c r="E113" s="44"/>
      <x:c r="F113" s="44"/>
      <x:c r="G113" s="44"/>
      <x:c r="H113" s="44"/>
      <x:c r="I113" s="44"/>
      <x:c r="J113" s="50"/>
    </x:row>
    <x:row r="114">
      <x:c r="A114" s="99"/>
      <x:c r="B114" s="74"/>
      <x:c r="C114" s="74"/>
      <x:c r="D114" s="74"/>
      <x:c r="E114" s="44"/>
      <x:c r="F114" s="44"/>
      <x:c r="G114" s="44"/>
      <x:c r="H114" s="44"/>
      <x:c r="I114" s="44"/>
      <x:c r="J114" s="50"/>
    </x:row>
    <x:row r="115">
      <x:c r="A115" s="99"/>
      <x:c r="B115" s="74"/>
      <x:c r="C115" s="74"/>
      <x:c r="D115" s="74"/>
      <x:c r="E115" s="44"/>
      <x:c r="F115" s="44"/>
      <x:c r="G115" s="44"/>
      <x:c r="H115" s="44"/>
      <x:c r="I115" s="44"/>
      <x:c r="J115" s="50"/>
    </x:row>
    <x:row r="116">
      <x:c r="A116" s="99"/>
      <x:c r="B116" s="74"/>
      <x:c r="C116" s="74"/>
      <x:c r="D116" s="74"/>
      <x:c r="E116" s="44"/>
      <x:c r="F116" s="44"/>
      <x:c r="G116" s="44"/>
      <x:c r="H116" s="44"/>
      <x:c r="I116" s="44"/>
      <x:c r="J116" s="50"/>
    </x:row>
    <x:row r="117">
      <x:c r="A117" s="99"/>
      <x:c r="B117" s="74"/>
      <x:c r="C117" s="74"/>
      <x:c r="D117" s="74"/>
      <x:c r="E117" s="44"/>
      <x:c r="F117" s="44"/>
      <x:c r="G117" s="44"/>
      <x:c r="H117" s="44"/>
      <x:c r="I117" s="44"/>
      <x:c r="J117" s="50"/>
    </x:row>
    <x:row r="118">
      <x:c r="A118" s="99"/>
      <x:c r="B118" s="74"/>
      <x:c r="C118" s="74"/>
      <x:c r="D118" s="74"/>
      <x:c r="E118" s="44"/>
      <x:c r="F118" s="44"/>
      <x:c r="G118" s="44"/>
      <x:c r="H118" s="44"/>
      <x:c r="I118" s="44"/>
      <x:c r="J118" s="50"/>
    </x:row>
    <x:row r="119">
      <x:c r="A119" s="99"/>
      <x:c r="B119" s="74"/>
      <x:c r="C119" s="74"/>
      <x:c r="D119" s="74"/>
      <x:c r="E119" s="44"/>
      <x:c r="F119" s="44"/>
      <x:c r="G119" s="44"/>
      <x:c r="H119" s="44"/>
      <x:c r="I119" s="44"/>
      <x:c r="J119" s="50"/>
    </x:row>
    <x:row r="120">
      <x:c r="A120" s="99"/>
      <x:c r="B120" s="74"/>
      <x:c r="C120" s="74"/>
      <x:c r="D120" s="74"/>
      <x:c r="E120" s="44"/>
      <x:c r="F120" s="44"/>
      <x:c r="G120" s="44"/>
      <x:c r="H120" s="44"/>
      <x:c r="I120" s="44"/>
      <x:c r="J120" s="50"/>
    </x:row>
    <x:row r="121">
      <x:c r="A121" s="99"/>
      <x:c r="B121" s="74"/>
      <x:c r="C121" s="74"/>
      <x:c r="D121" s="74"/>
      <x:c r="E121" s="44"/>
      <x:c r="F121" s="44"/>
      <x:c r="G121" s="44"/>
      <x:c r="H121" s="44"/>
      <x:c r="I121" s="44"/>
      <x:c r="J121" s="50"/>
    </x:row>
    <x:row r="122">
      <x:c r="A122" s="99"/>
      <x:c r="B122" s="74"/>
      <x:c r="C122" s="74"/>
      <x:c r="D122" s="74"/>
      <x:c r="E122" s="44"/>
      <x:c r="F122" s="44"/>
      <x:c r="G122" s="44"/>
      <x:c r="H122" s="44"/>
      <x:c r="I122" s="44"/>
      <x:c r="J122" s="50"/>
    </x:row>
    <x:row r="123">
      <x:c r="A123" s="99"/>
      <x:c r="B123" s="74"/>
      <x:c r="C123" s="74"/>
      <x:c r="D123" s="74"/>
      <x:c r="E123" s="44"/>
      <x:c r="F123" s="44"/>
      <x:c r="G123" s="44"/>
      <x:c r="H123" s="44"/>
      <x:c r="I123" s="44"/>
      <x:c r="J123" s="50"/>
    </x:row>
    <x:row r="124">
      <x:c r="A124" s="99"/>
      <x:c r="B124" s="74"/>
      <x:c r="C124" s="74"/>
      <x:c r="D124" s="74"/>
      <x:c r="E124" s="44"/>
      <x:c r="F124" s="44"/>
      <x:c r="G124" s="44"/>
      <x:c r="H124" s="44"/>
      <x:c r="I124" s="44"/>
      <x:c r="J124" s="50"/>
    </x:row>
    <x:row r="125">
      <x:c r="A125" s="99"/>
      <x:c r="B125" s="74"/>
      <x:c r="C125" s="74"/>
      <x:c r="D125" s="74"/>
      <x:c r="E125" s="44"/>
      <x:c r="F125" s="44"/>
      <x:c r="G125" s="44"/>
      <x:c r="H125" s="44"/>
      <x:c r="I125" s="44"/>
      <x:c r="J125" s="50"/>
    </x:row>
    <x:row r="126">
      <x:c r="A126" s="99"/>
      <x:c r="B126" s="74"/>
      <x:c r="C126" s="74"/>
      <x:c r="D126" s="74"/>
      <x:c r="E126" s="44"/>
      <x:c r="F126" s="44"/>
      <x:c r="G126" s="44"/>
      <x:c r="H126" s="44"/>
      <x:c r="I126" s="44"/>
      <x:c r="J126" s="50"/>
    </x:row>
    <x:row r="127">
      <x:c r="A127" s="99"/>
      <x:c r="B127" s="74"/>
      <x:c r="C127" s="74"/>
      <x:c r="D127" s="74"/>
      <x:c r="E127" s="44"/>
      <x:c r="F127" s="44"/>
      <x:c r="G127" s="44"/>
      <x:c r="H127" s="44"/>
      <x:c r="I127" s="44"/>
      <x:c r="J127" s="50"/>
    </x:row>
    <x:row r="128">
      <x:c r="A128" s="99"/>
      <x:c r="B128" s="74"/>
      <x:c r="C128" s="74"/>
      <x:c r="D128" s="74"/>
      <x:c r="E128" s="44"/>
      <x:c r="F128" s="44"/>
      <x:c r="G128" s="44"/>
      <x:c r="H128" s="44"/>
      <x:c r="I128" s="44"/>
      <x:c r="J128" s="50"/>
    </x:row>
    <x:row r="129">
      <x:c r="A129" s="99"/>
      <x:c r="B129" s="74"/>
      <x:c r="C129" s="74"/>
      <x:c r="D129" s="74"/>
      <x:c r="E129" s="44"/>
      <x:c r="F129" s="44"/>
      <x:c r="G129" s="44"/>
      <x:c r="H129" s="44"/>
      <x:c r="I129" s="44"/>
      <x:c r="J129" s="50"/>
    </x:row>
    <x:row r="130">
      <x:c r="A130" s="99"/>
      <x:c r="B130" s="74"/>
      <x:c r="C130" s="74"/>
      <x:c r="D130" s="74"/>
      <x:c r="E130" s="44"/>
      <x:c r="F130" s="44"/>
      <x:c r="G130" s="44"/>
      <x:c r="H130" s="44"/>
      <x:c r="I130" s="44"/>
      <x:c r="J130" s="50"/>
    </x:row>
    <x:row r="131">
      <x:c r="A131" s="99"/>
      <x:c r="B131" s="74"/>
      <x:c r="C131" s="74"/>
      <x:c r="D131" s="74"/>
      <x:c r="E131" s="44"/>
      <x:c r="F131" s="44"/>
      <x:c r="G131" s="44"/>
      <x:c r="H131" s="44"/>
      <x:c r="I131" s="44"/>
      <x:c r="J131" s="50"/>
    </x:row>
    <x:row r="132">
      <x:c r="A132" s="99"/>
      <x:c r="B132" s="74"/>
      <x:c r="C132" s="74"/>
      <x:c r="D132" s="74"/>
      <x:c r="E132" s="44"/>
      <x:c r="F132" s="44"/>
      <x:c r="G132" s="44"/>
      <x:c r="H132" s="44"/>
      <x:c r="I132" s="44"/>
      <x:c r="J132" s="50"/>
    </x:row>
    <x:row r="133">
      <x:c r="A133" s="99"/>
      <x:c r="B133" s="74"/>
      <x:c r="C133" s="74"/>
      <x:c r="D133" s="74"/>
      <x:c r="E133" s="44"/>
      <x:c r="F133" s="44"/>
      <x:c r="G133" s="44"/>
      <x:c r="H133" s="44"/>
      <x:c r="I133" s="44"/>
      <x:c r="J133" s="50"/>
    </x:row>
    <x:row r="134">
      <x:c r="A134" s="99"/>
      <x:c r="B134" s="74"/>
      <x:c r="C134" s="74"/>
      <x:c r="D134" s="74"/>
      <x:c r="E134" s="44"/>
      <x:c r="F134" s="44"/>
      <x:c r="G134" s="44"/>
      <x:c r="H134" s="44"/>
      <x:c r="I134" s="44"/>
      <x:c r="J134" s="50"/>
    </x:row>
    <x:row r="135">
      <x:c r="A135" s="99"/>
      <x:c r="B135" s="74"/>
      <x:c r="C135" s="74"/>
      <x:c r="D135" s="74"/>
      <x:c r="E135" s="44"/>
      <x:c r="F135" s="44"/>
      <x:c r="G135" s="44"/>
      <x:c r="H135" s="44"/>
      <x:c r="I135" s="44"/>
      <x:c r="J135" s="50"/>
    </x:row>
    <x:row r="136">
      <x:c r="A136" s="99"/>
      <x:c r="B136" s="74"/>
      <x:c r="C136" s="74"/>
      <x:c r="D136" s="74"/>
      <x:c r="E136" s="44"/>
      <x:c r="F136" s="44"/>
      <x:c r="G136" s="44"/>
      <x:c r="H136" s="44"/>
      <x:c r="I136" s="44"/>
      <x:c r="J136" s="50"/>
    </x:row>
    <x:row r="137">
      <x:c r="A137" s="99"/>
      <x:c r="B137" s="74"/>
      <x:c r="C137" s="74"/>
      <x:c r="D137" s="74"/>
      <x:c r="E137" s="44"/>
      <x:c r="F137" s="44"/>
      <x:c r="G137" s="44"/>
      <x:c r="H137" s="44"/>
      <x:c r="I137" s="44"/>
      <x:c r="J137" s="50"/>
    </x:row>
    <x:row r="138">
      <x:c r="A138" s="99"/>
      <x:c r="B138" s="74"/>
      <x:c r="C138" s="74"/>
      <x:c r="D138" s="74"/>
      <x:c r="E138" s="44"/>
      <x:c r="F138" s="44"/>
      <x:c r="G138" s="44"/>
      <x:c r="H138" s="44"/>
      <x:c r="I138" s="44"/>
      <x:c r="J138" s="50"/>
    </x:row>
    <x:row r="139">
      <x:c r="A139" s="99"/>
      <x:c r="B139" s="74"/>
      <x:c r="C139" s="74"/>
      <x:c r="D139" s="74"/>
      <x:c r="E139" s="44"/>
      <x:c r="F139" s="44"/>
      <x:c r="G139" s="44"/>
      <x:c r="H139" s="44"/>
      <x:c r="I139" s="44"/>
      <x:c r="J139" s="50"/>
    </x:row>
    <x:row r="140">
      <x:c r="A140" s="99"/>
      <x:c r="B140" s="74"/>
      <x:c r="C140" s="74"/>
      <x:c r="D140" s="74"/>
      <x:c r="E140" s="44"/>
      <x:c r="F140" s="44"/>
      <x:c r="G140" s="44"/>
      <x:c r="H140" s="44"/>
      <x:c r="I140" s="44"/>
      <x:c r="J140" s="50"/>
    </x:row>
    <x:row r="141">
      <x:c r="A141" s="99"/>
      <x:c r="B141" s="74"/>
      <x:c r="C141" s="74"/>
      <x:c r="D141" s="74"/>
      <x:c r="E141" s="44"/>
      <x:c r="F141" s="44"/>
      <x:c r="G141" s="44"/>
      <x:c r="H141" s="44"/>
      <x:c r="I141" s="44"/>
      <x:c r="J141" s="50"/>
    </x:row>
    <x:row r="142">
      <x:c r="A142" s="99"/>
      <x:c r="B142" s="74"/>
      <x:c r="C142" s="74"/>
      <x:c r="D142" s="74"/>
      <x:c r="E142" s="44"/>
      <x:c r="F142" s="44"/>
      <x:c r="G142" s="44"/>
      <x:c r="H142" s="44"/>
      <x:c r="I142" s="44"/>
      <x:c r="J142" s="50"/>
    </x:row>
    <x:row r="143">
      <x:c r="A143" s="99"/>
      <x:c r="B143" s="74"/>
      <x:c r="C143" s="74"/>
      <x:c r="D143" s="74"/>
      <x:c r="E143" s="44"/>
      <x:c r="F143" s="44"/>
      <x:c r="G143" s="44"/>
      <x:c r="H143" s="44"/>
      <x:c r="I143" s="44"/>
      <x:c r="J143" s="50"/>
    </x:row>
    <x:row r="144">
      <x:c r="A144" s="99"/>
      <x:c r="B144" s="74"/>
      <x:c r="C144" s="74"/>
      <x:c r="D144" s="74"/>
      <x:c r="E144" s="44"/>
      <x:c r="F144" s="44"/>
      <x:c r="G144" s="44"/>
      <x:c r="H144" s="44"/>
      <x:c r="I144" s="44"/>
      <x:c r="J144" s="50"/>
    </x:row>
    <x:row r="145">
      <x:c r="A145" s="99"/>
      <x:c r="B145" s="74"/>
      <x:c r="C145" s="74"/>
      <x:c r="D145" s="74"/>
      <x:c r="E145" s="44"/>
      <x:c r="F145" s="44"/>
      <x:c r="G145" s="44"/>
      <x:c r="H145" s="44"/>
      <x:c r="I145" s="44"/>
      <x:c r="J145" s="50"/>
    </x:row>
    <x:row r="146">
      <x:c r="A146" s="99"/>
      <x:c r="B146" s="74"/>
      <x:c r="C146" s="74"/>
      <x:c r="D146" s="74"/>
      <x:c r="E146" s="44"/>
      <x:c r="F146" s="44"/>
      <x:c r="G146" s="44"/>
      <x:c r="H146" s="44"/>
      <x:c r="I146" s="44"/>
      <x:c r="J146" s="50"/>
    </x:row>
    <x:row r="147">
      <x:c r="A147" s="99"/>
      <x:c r="B147" s="74"/>
      <x:c r="C147" s="74"/>
      <x:c r="D147" s="74"/>
      <x:c r="E147" s="44"/>
      <x:c r="F147" s="44"/>
      <x:c r="G147" s="44"/>
      <x:c r="H147" s="44"/>
      <x:c r="I147" s="44"/>
      <x:c r="J147" s="50"/>
    </x:row>
    <x:row r="148">
      <x:c r="A148" s="99"/>
      <x:c r="B148" s="74"/>
      <x:c r="C148" s="74"/>
      <x:c r="D148" s="74"/>
      <x:c r="E148" s="44"/>
      <x:c r="F148" s="44"/>
      <x:c r="G148" s="44"/>
      <x:c r="H148" s="44"/>
      <x:c r="I148" s="44"/>
      <x:c r="J148" s="50"/>
    </x:row>
    <x:row r="149">
      <x:c r="A149" s="99"/>
      <x:c r="B149" s="74"/>
      <x:c r="C149" s="74"/>
      <x:c r="D149" s="74"/>
      <x:c r="E149" s="44"/>
      <x:c r="F149" s="44"/>
      <x:c r="G149" s="44"/>
      <x:c r="H149" s="44"/>
      <x:c r="I149" s="44"/>
      <x:c r="J149" s="50"/>
    </x:row>
    <x:row r="150">
      <x:c r="A150" s="99"/>
      <x:c r="B150" s="74"/>
      <x:c r="C150" s="74"/>
      <x:c r="D150" s="74"/>
      <x:c r="E150" s="44"/>
      <x:c r="F150" s="44"/>
      <x:c r="G150" s="44"/>
      <x:c r="H150" s="44"/>
      <x:c r="I150" s="44"/>
      <x:c r="J150" s="50"/>
    </x:row>
    <x:row r="151">
      <x:c r="A151" s="99"/>
      <x:c r="B151" s="74"/>
      <x:c r="C151" s="74"/>
      <x:c r="D151" s="74"/>
      <x:c r="E151" s="44"/>
      <x:c r="F151" s="44"/>
      <x:c r="G151" s="44"/>
      <x:c r="H151" s="44"/>
      <x:c r="I151" s="44"/>
      <x:c r="J151" s="50"/>
    </x:row>
    <x:row r="152">
      <x:c r="A152" s="99"/>
      <x:c r="B152" s="74"/>
      <x:c r="C152" s="74"/>
      <x:c r="D152" s="74"/>
      <x:c r="E152" s="44"/>
      <x:c r="F152" s="44"/>
      <x:c r="G152" s="44"/>
      <x:c r="H152" s="44"/>
      <x:c r="I152" s="44"/>
      <x:c r="J152" s="50"/>
    </x:row>
    <x:row r="153">
      <x:c r="A153" s="99"/>
      <x:c r="B153" s="74"/>
      <x:c r="C153" s="74"/>
      <x:c r="D153" s="74"/>
      <x:c r="E153" s="44"/>
      <x:c r="F153" s="44"/>
      <x:c r="G153" s="44"/>
      <x:c r="H153" s="44"/>
      <x:c r="I153" s="44"/>
      <x:c r="J153" s="50"/>
    </x:row>
    <x:row r="154">
      <x:c r="A154" s="99"/>
      <x:c r="B154" s="74"/>
      <x:c r="C154" s="74"/>
      <x:c r="D154" s="74"/>
      <x:c r="E154" s="44"/>
      <x:c r="F154" s="44"/>
      <x:c r="G154" s="44"/>
      <x:c r="H154" s="44"/>
      <x:c r="I154" s="44"/>
      <x:c r="J154" s="50"/>
    </x:row>
    <x:row r="155">
      <x:c r="A155" s="99"/>
      <x:c r="B155" s="74"/>
      <x:c r="C155" s="74"/>
      <x:c r="D155" s="74"/>
      <x:c r="E155" s="44"/>
      <x:c r="F155" s="44"/>
      <x:c r="G155" s="44"/>
      <x:c r="H155" s="44"/>
      <x:c r="I155" s="44"/>
      <x:c r="J155" s="50"/>
    </x:row>
    <x:row r="156">
      <x:c r="A156" s="99"/>
      <x:c r="B156" s="74"/>
      <x:c r="C156" s="74"/>
      <x:c r="D156" s="74"/>
      <x:c r="E156" s="44"/>
      <x:c r="F156" s="44"/>
      <x:c r="G156" s="44"/>
      <x:c r="H156" s="44"/>
      <x:c r="I156" s="44"/>
      <x:c r="J156" s="50"/>
    </x:row>
    <x:row r="157">
      <x:c r="A157" s="99"/>
      <x:c r="B157" s="74"/>
      <x:c r="C157" s="74"/>
      <x:c r="D157" s="74"/>
      <x:c r="E157" s="44"/>
      <x:c r="F157" s="44"/>
      <x:c r="G157" s="44"/>
      <x:c r="H157" s="44"/>
      <x:c r="I157" s="44"/>
      <x:c r="J157" s="50"/>
    </x:row>
    <x:row r="158">
      <x:c r="A158" s="99"/>
      <x:c r="B158" s="74"/>
      <x:c r="C158" s="74"/>
      <x:c r="D158" s="74"/>
      <x:c r="E158" s="44"/>
      <x:c r="F158" s="44"/>
      <x:c r="G158" s="44"/>
      <x:c r="H158" s="44"/>
      <x:c r="I158" s="44"/>
      <x:c r="J158" s="50"/>
    </x:row>
    <x:row r="159">
      <x:c r="A159" s="99"/>
      <x:c r="B159" s="74"/>
      <x:c r="C159" s="74"/>
      <x:c r="D159" s="74"/>
      <x:c r="E159" s="44"/>
      <x:c r="F159" s="44"/>
      <x:c r="G159" s="44"/>
      <x:c r="H159" s="44"/>
      <x:c r="I159" s="44"/>
      <x:c r="J159" s="50"/>
    </x:row>
    <x:row r="160">
      <x:c r="A160" s="99"/>
      <x:c r="B160" s="74"/>
      <x:c r="C160" s="74"/>
      <x:c r="D160" s="74"/>
      <x:c r="E160" s="44"/>
      <x:c r="F160" s="44"/>
      <x:c r="G160" s="44"/>
      <x:c r="H160" s="44"/>
      <x:c r="I160" s="44"/>
      <x:c r="J160" s="50"/>
    </x:row>
    <x:row r="161">
      <x:c r="A161" s="99"/>
      <x:c r="B161" s="74"/>
      <x:c r="C161" s="74"/>
      <x:c r="D161" s="74"/>
      <x:c r="E161" s="44"/>
      <x:c r="F161" s="44"/>
      <x:c r="G161" s="44"/>
      <x:c r="H161" s="44"/>
      <x:c r="I161" s="44"/>
      <x:c r="J161" s="50"/>
    </x:row>
    <x:row r="162">
      <x:c r="A162" s="99"/>
      <x:c r="B162" s="74"/>
      <x:c r="C162" s="74"/>
      <x:c r="D162" s="74"/>
      <x:c r="E162" s="44"/>
      <x:c r="F162" s="44"/>
      <x:c r="G162" s="44"/>
      <x:c r="H162" s="44"/>
      <x:c r="I162" s="44"/>
      <x:c r="J162" s="50"/>
    </x:row>
    <x:row r="163">
      <x:c r="A163" s="99"/>
      <x:c r="B163" s="74"/>
      <x:c r="C163" s="74"/>
      <x:c r="D163" s="74"/>
      <x:c r="E163" s="44"/>
      <x:c r="F163" s="44"/>
      <x:c r="G163" s="44"/>
      <x:c r="H163" s="44"/>
      <x:c r="I163" s="44"/>
      <x:c r="J163" s="50"/>
    </x:row>
    <x:row r="164">
      <x:c r="A164" s="99"/>
      <x:c r="B164" s="74"/>
      <x:c r="C164" s="74"/>
      <x:c r="D164" s="74"/>
      <x:c r="E164" s="44"/>
      <x:c r="F164" s="44"/>
      <x:c r="G164" s="44"/>
      <x:c r="H164" s="44"/>
      <x:c r="I164" s="44"/>
      <x:c r="J164" s="50"/>
    </x:row>
    <x:row r="165">
      <x:c r="A165" s="99"/>
      <x:c r="B165" s="74"/>
      <x:c r="C165" s="74"/>
      <x:c r="D165" s="74"/>
      <x:c r="E165" s="44"/>
      <x:c r="F165" s="44"/>
      <x:c r="G165" s="44"/>
      <x:c r="H165" s="44"/>
      <x:c r="I165" s="44"/>
      <x:c r="J165" s="50"/>
    </x:row>
    <x:row r="166">
      <x:c r="A166" s="99"/>
      <x:c r="B166" s="74"/>
      <x:c r="C166" s="74"/>
      <x:c r="D166" s="74"/>
      <x:c r="E166" s="44"/>
      <x:c r="F166" s="44"/>
      <x:c r="G166" s="44"/>
      <x:c r="H166" s="44"/>
      <x:c r="I166" s="44"/>
      <x:c r="J166" s="50"/>
    </x:row>
    <x:row r="167">
      <x:c r="A167" s="99"/>
      <x:c r="B167" s="74"/>
      <x:c r="C167" s="74"/>
      <x:c r="D167" s="74"/>
      <x:c r="E167" s="44"/>
      <x:c r="F167" s="44"/>
      <x:c r="G167" s="44"/>
      <x:c r="H167" s="44"/>
      <x:c r="I167" s="44"/>
      <x:c r="J167" s="50"/>
    </x:row>
    <x:row r="168">
      <x:c r="A168" s="99"/>
      <x:c r="B168" s="74"/>
      <x:c r="C168" s="74"/>
      <x:c r="D168" s="74"/>
      <x:c r="E168" s="44"/>
      <x:c r="F168" s="44"/>
      <x:c r="G168" s="44"/>
      <x:c r="H168" s="44"/>
      <x:c r="I168" s="44"/>
      <x:c r="J168" s="50"/>
    </x:row>
    <x:row r="169">
      <x:c r="A169" s="99"/>
      <x:c r="B169" s="74"/>
      <x:c r="C169" s="74"/>
      <x:c r="D169" s="74"/>
      <x:c r="E169" s="44"/>
      <x:c r="F169" s="44"/>
      <x:c r="G169" s="44"/>
      <x:c r="H169" s="44"/>
      <x:c r="I169" s="44"/>
      <x:c r="J169" s="50"/>
    </x:row>
    <x:row r="170">
      <x:c r="A170" s="99"/>
      <x:c r="B170" s="74"/>
      <x:c r="C170" s="74"/>
      <x:c r="D170" s="74"/>
      <x:c r="E170" s="44"/>
      <x:c r="F170" s="44"/>
      <x:c r="G170" s="44"/>
      <x:c r="H170" s="44"/>
      <x:c r="I170" s="44"/>
      <x:c r="J170" s="50"/>
    </x:row>
    <x:row r="171">
      <x:c r="A171" s="99"/>
      <x:c r="B171" s="74"/>
      <x:c r="C171" s="74"/>
      <x:c r="D171" s="74"/>
      <x:c r="E171" s="44"/>
      <x:c r="F171" s="44"/>
      <x:c r="G171" s="44"/>
      <x:c r="H171" s="44"/>
      <x:c r="I171" s="44"/>
      <x:c r="J171" s="50"/>
    </x:row>
    <x:row r="172">
      <x:c r="A172" s="99"/>
      <x:c r="B172" s="74"/>
      <x:c r="C172" s="74"/>
      <x:c r="D172" s="74"/>
      <x:c r="E172" s="44"/>
      <x:c r="F172" s="44"/>
      <x:c r="G172" s="44"/>
      <x:c r="H172" s="44"/>
      <x:c r="I172" s="44"/>
      <x:c r="J172" s="50"/>
    </x:row>
    <x:row r="173">
      <x:c r="A173" s="99"/>
      <x:c r="B173" s="74"/>
      <x:c r="C173" s="74"/>
      <x:c r="D173" s="74"/>
      <x:c r="E173" s="44"/>
      <x:c r="F173" s="44"/>
      <x:c r="G173" s="44"/>
      <x:c r="H173" s="44"/>
      <x:c r="I173" s="44"/>
      <x:c r="J173" s="50"/>
    </x:row>
    <x:row r="174">
      <x:c r="A174" s="99"/>
      <x:c r="B174" s="74"/>
      <x:c r="C174" s="74"/>
      <x:c r="D174" s="74"/>
      <x:c r="E174" s="44"/>
      <x:c r="F174" s="44"/>
      <x:c r="G174" s="44"/>
      <x:c r="H174" s="44"/>
      <x:c r="I174" s="44"/>
      <x:c r="J174" s="50"/>
    </x:row>
    <x:row r="175">
      <x:c r="A175" s="99"/>
      <x:c r="B175" s="74"/>
      <x:c r="C175" s="74"/>
      <x:c r="D175" s="74"/>
      <x:c r="E175" s="44"/>
      <x:c r="F175" s="44"/>
      <x:c r="G175" s="44"/>
      <x:c r="H175" s="44"/>
      <x:c r="I175" s="44"/>
      <x:c r="J175" s="50"/>
    </x:row>
    <x:row r="176">
      <x:c r="A176" s="99"/>
      <x:c r="B176" s="74"/>
      <x:c r="C176" s="74"/>
      <x:c r="D176" s="74"/>
      <x:c r="E176" s="44"/>
      <x:c r="F176" s="44"/>
      <x:c r="G176" s="44"/>
      <x:c r="H176" s="44"/>
      <x:c r="I176" s="44"/>
      <x:c r="J176" s="50"/>
    </x:row>
    <x:row r="177">
      <x:c r="A177" s="99"/>
      <x:c r="B177" s="74"/>
      <x:c r="C177" s="74"/>
      <x:c r="D177" s="74"/>
      <x:c r="E177" s="44"/>
      <x:c r="F177" s="44"/>
      <x:c r="G177" s="44"/>
      <x:c r="H177" s="44"/>
      <x:c r="I177" s="44"/>
      <x:c r="J177" s="50"/>
    </x:row>
    <x:row r="178">
      <x:c r="A178" s="99"/>
      <x:c r="B178" s="74"/>
      <x:c r="C178" s="74"/>
      <x:c r="D178" s="74"/>
      <x:c r="E178" s="44"/>
      <x:c r="F178" s="44"/>
      <x:c r="G178" s="44"/>
      <x:c r="H178" s="44"/>
      <x:c r="I178" s="44"/>
      <x:c r="J178" s="50"/>
    </x:row>
    <x:row r="179">
      <x:c r="A179" s="99"/>
      <x:c r="B179" s="74"/>
      <x:c r="C179" s="74"/>
      <x:c r="D179" s="74"/>
      <x:c r="E179" s="44"/>
      <x:c r="F179" s="44"/>
      <x:c r="G179" s="44"/>
      <x:c r="H179" s="44"/>
      <x:c r="I179" s="44"/>
      <x:c r="J179" s="50"/>
    </x:row>
    <x:row r="180">
      <x:c r="A180" s="99"/>
      <x:c r="B180" s="74"/>
      <x:c r="C180" s="74"/>
      <x:c r="D180" s="74"/>
      <x:c r="E180" s="44"/>
      <x:c r="F180" s="44"/>
      <x:c r="G180" s="44"/>
      <x:c r="H180" s="44"/>
      <x:c r="I180" s="44"/>
      <x:c r="J180" s="50"/>
    </x:row>
    <x:row r="181">
      <x:c r="A181" s="99"/>
      <x:c r="B181" s="74"/>
      <x:c r="C181" s="74"/>
      <x:c r="D181" s="74"/>
      <x:c r="E181" s="44"/>
      <x:c r="F181" s="44"/>
      <x:c r="G181" s="44"/>
      <x:c r="H181" s="44"/>
      <x:c r="I181" s="44"/>
      <x:c r="J181" s="50"/>
    </x:row>
    <x:row r="182">
      <x:c r="A182" s="99"/>
      <x:c r="B182" s="74"/>
      <x:c r="C182" s="74"/>
      <x:c r="D182" s="74"/>
      <x:c r="E182" s="44"/>
      <x:c r="F182" s="44"/>
      <x:c r="G182" s="44"/>
      <x:c r="H182" s="44"/>
      <x:c r="I182" s="44"/>
      <x:c r="J182" s="50"/>
    </x:row>
    <x:row r="183">
      <x:c r="A183" s="99"/>
      <x:c r="B183" s="74"/>
      <x:c r="C183" s="74"/>
      <x:c r="D183" s="74"/>
      <x:c r="E183" s="44"/>
      <x:c r="F183" s="44"/>
      <x:c r="G183" s="44"/>
      <x:c r="H183" s="44"/>
      <x:c r="I183" s="44"/>
      <x:c r="J183" s="50"/>
    </x:row>
    <x:row r="184">
      <x:c r="A184" s="99"/>
      <x:c r="B184" s="74"/>
      <x:c r="C184" s="74"/>
      <x:c r="D184" s="74"/>
      <x:c r="E184" s="44"/>
      <x:c r="F184" s="44"/>
      <x:c r="G184" s="44"/>
      <x:c r="H184" s="44"/>
      <x:c r="I184" s="44"/>
      <x:c r="J184" s="50"/>
    </x:row>
    <x:row r="185">
      <x:c r="A185" s="99"/>
      <x:c r="B185" s="74"/>
      <x:c r="C185" s="74"/>
      <x:c r="D185" s="74"/>
      <x:c r="E185" s="44"/>
      <x:c r="F185" s="44"/>
      <x:c r="G185" s="44"/>
      <x:c r="H185" s="44"/>
      <x:c r="I185" s="44"/>
      <x:c r="J185" s="50"/>
    </x:row>
    <x:row r="186">
      <x:c r="A186" s="99"/>
      <x:c r="B186" s="74"/>
      <x:c r="C186" s="74"/>
      <x:c r="D186" s="74"/>
      <x:c r="E186" s="44"/>
      <x:c r="F186" s="44"/>
      <x:c r="G186" s="44"/>
      <x:c r="H186" s="44"/>
      <x:c r="I186" s="44"/>
      <x:c r="J186" s="50"/>
    </x:row>
    <x:row r="187">
      <x:c r="A187" s="99"/>
      <x:c r="B187" s="74"/>
      <x:c r="C187" s="74"/>
      <x:c r="D187" s="74"/>
      <x:c r="E187" s="44"/>
      <x:c r="F187" s="44"/>
      <x:c r="G187" s="44"/>
      <x:c r="H187" s="44"/>
      <x:c r="I187" s="44"/>
      <x:c r="J187" s="50"/>
    </x:row>
    <x:row r="188">
      <x:c r="A188" s="99"/>
      <x:c r="B188" s="74"/>
      <x:c r="C188" s="74"/>
      <x:c r="D188" s="74"/>
      <x:c r="E188" s="44"/>
      <x:c r="F188" s="44"/>
      <x:c r="G188" s="44"/>
      <x:c r="H188" s="44"/>
      <x:c r="I188" s="44"/>
      <x:c r="J188" s="50"/>
    </x:row>
    <x:row r="189">
      <x:c r="A189" s="99"/>
      <x:c r="B189" s="74"/>
      <x:c r="C189" s="74"/>
      <x:c r="D189" s="74"/>
      <x:c r="E189" s="44"/>
      <x:c r="F189" s="44"/>
      <x:c r="G189" s="44"/>
      <x:c r="H189" s="44"/>
      <x:c r="I189" s="44"/>
      <x:c r="J189" s="50"/>
    </x:row>
    <x:row r="190">
      <x:c r="A190" s="99"/>
      <x:c r="B190" s="74"/>
      <x:c r="C190" s="74"/>
      <x:c r="D190" s="74"/>
      <x:c r="E190" s="44"/>
      <x:c r="F190" s="44"/>
      <x:c r="G190" s="44"/>
      <x:c r="H190" s="44"/>
      <x:c r="I190" s="44"/>
      <x:c r="J190" s="50"/>
    </x:row>
    <x:row r="191">
      <x:c r="A191" s="99"/>
      <x:c r="B191" s="74"/>
      <x:c r="C191" s="74"/>
      <x:c r="D191" s="74"/>
      <x:c r="E191" s="44"/>
      <x:c r="F191" s="44"/>
      <x:c r="G191" s="44"/>
      <x:c r="H191" s="44"/>
      <x:c r="I191" s="44"/>
      <x:c r="J191" s="50"/>
    </x:row>
    <x:row r="192">
      <x:c r="A192" s="99"/>
      <x:c r="B192" s="74"/>
      <x:c r="C192" s="74"/>
      <x:c r="D192" s="74"/>
      <x:c r="E192" s="44"/>
      <x:c r="F192" s="44"/>
      <x:c r="G192" s="44"/>
      <x:c r="H192" s="44"/>
      <x:c r="I192" s="44"/>
      <x:c r="J192" s="50"/>
    </x:row>
    <x:row r="193">
      <x:c r="A193" s="99"/>
      <x:c r="B193" s="74"/>
      <x:c r="C193" s="74"/>
      <x:c r="D193" s="74"/>
      <x:c r="E193" s="44"/>
      <x:c r="F193" s="44"/>
      <x:c r="G193" s="44"/>
      <x:c r="H193" s="44"/>
      <x:c r="I193" s="44"/>
      <x:c r="J193" s="50"/>
    </x:row>
    <x:row r="194">
      <x:c r="A194" s="99"/>
      <x:c r="B194" s="74"/>
      <x:c r="C194" s="74"/>
      <x:c r="D194" s="74"/>
      <x:c r="E194" s="44"/>
      <x:c r="F194" s="44"/>
      <x:c r="G194" s="44"/>
      <x:c r="H194" s="44"/>
      <x:c r="I194" s="44"/>
      <x:c r="J194" s="50"/>
    </x:row>
    <x:row r="195">
      <x:c r="A195" s="99"/>
      <x:c r="B195" s="74"/>
      <x:c r="C195" s="74"/>
      <x:c r="D195" s="74"/>
      <x:c r="E195" s="44"/>
      <x:c r="F195" s="44"/>
      <x:c r="G195" s="44"/>
      <x:c r="H195" s="44"/>
      <x:c r="I195" s="44"/>
      <x:c r="J195" s="50"/>
    </x:row>
    <x:row r="196">
      <x:c r="A196" s="99"/>
      <x:c r="B196" s="74"/>
      <x:c r="C196" s="74"/>
      <x:c r="D196" s="74"/>
      <x:c r="E196" s="44"/>
      <x:c r="F196" s="44"/>
      <x:c r="G196" s="44"/>
      <x:c r="H196" s="44"/>
      <x:c r="I196" s="44"/>
      <x:c r="J196" s="50"/>
    </x:row>
    <x:row r="197">
      <x:c r="A197" s="99"/>
      <x:c r="B197" s="74"/>
      <x:c r="C197" s="74"/>
      <x:c r="D197" s="74"/>
      <x:c r="E197" s="44"/>
      <x:c r="F197" s="44"/>
      <x:c r="G197" s="44"/>
      <x:c r="H197" s="44"/>
      <x:c r="I197" s="44"/>
      <x:c r="J197" s="50"/>
    </x:row>
    <x:row r="198">
      <x:c r="A198" s="99"/>
      <x:c r="B198" s="74"/>
      <x:c r="C198" s="74"/>
      <x:c r="D198" s="74"/>
      <x:c r="E198" s="44"/>
      <x:c r="F198" s="44"/>
      <x:c r="G198" s="44"/>
      <x:c r="H198" s="44"/>
      <x:c r="I198" s="44"/>
      <x:c r="J198" s="50"/>
    </x:row>
    <x:row r="199">
      <x:c r="A199" s="99"/>
      <x:c r="B199" s="74"/>
      <x:c r="C199" s="74"/>
      <x:c r="D199" s="74"/>
      <x:c r="E199" s="44"/>
      <x:c r="F199" s="44"/>
      <x:c r="G199" s="44"/>
      <x:c r="H199" s="44"/>
      <x:c r="I199" s="44"/>
      <x:c r="J199" s="50"/>
    </x:row>
    <x:row r="200">
      <x:c r="A200" s="99"/>
      <x:c r="B200" s="74"/>
      <x:c r="C200" s="74"/>
      <x:c r="D200" s="74"/>
      <x:c r="E200" s="44"/>
      <x:c r="F200" s="44"/>
      <x:c r="G200" s="44"/>
      <x:c r="H200" s="44"/>
      <x:c r="I200" s="44"/>
      <x:c r="J200" s="50"/>
    </x:row>
    <x:row r="201">
      <x:c r="A201" s="99"/>
      <x:c r="B201" s="74"/>
      <x:c r="C201" s="74"/>
      <x:c r="D201" s="74"/>
      <x:c r="E201" s="44"/>
      <x:c r="F201" s="44"/>
      <x:c r="G201" s="44"/>
      <x:c r="H201" s="44"/>
      <x:c r="I201" s="44"/>
      <x:c r="J201" s="50"/>
    </x:row>
    <x:row r="202">
      <x:c r="A202" s="99"/>
      <x:c r="B202" s="74"/>
      <x:c r="C202" s="74"/>
      <x:c r="D202" s="74"/>
      <x:c r="E202" s="44"/>
      <x:c r="F202" s="44"/>
      <x:c r="G202" s="44"/>
      <x:c r="H202" s="44"/>
      <x:c r="I202" s="44"/>
      <x:c r="J202" s="50"/>
    </x:row>
    <x:row r="203">
      <x:c r="A203" s="99"/>
      <x:c r="B203" s="74"/>
      <x:c r="C203" s="74"/>
      <x:c r="D203" s="74"/>
      <x:c r="E203" s="44"/>
      <x:c r="F203" s="44"/>
      <x:c r="G203" s="44"/>
      <x:c r="H203" s="44"/>
      <x:c r="I203" s="44"/>
      <x:c r="J203" s="50"/>
    </x:row>
    <x:row r="204">
      <x:c r="A204" s="100"/>
      <x:c r="B204" s="76"/>
      <x:c r="C204" s="76"/>
      <x:c r="D204" s="76"/>
      <x:c r="E204" s="52"/>
      <x:c r="F204" s="52"/>
      <x:c r="G204" s="52"/>
      <x:c r="H204" s="52"/>
      <x:c r="I204" s="52"/>
      <x:c r="J204" s="53"/>
    </x:row>
  </x:sheetData>
  <x:mergeCells>
    <x:mergeCell ref="A1:J1"/>
    <x:mergeCell ref="A2:J2"/>
  </x:mergeCells>
  <x:dataValidations count="3">
    <x:dataValidation type="list" sqref="B5:B204">
      <x:formula1>"ĐỒNG HÀNH,BẠC,VÀNG,BẠCH KIM,KIM CƯƠNG,NHÀ TÀI TRỢ CHÍNH"</x:formula1>
    </x:dataValidation>
    <x:dataValidation type="list" sqref="C5:C204">
      <x:formula1>'02_Asset_Master'!$A$5:$A$29</x:formula1>
    </x:dataValidation>
    <x:dataValidation type="list" sqref="H5:H204">
      <x:formula1>"Chưa triển khai,Đang triển khai,Hoàn thành,Thay thế/Make-good,Hủy"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45" hidden="0" customWidth="1"/>
    <x:col min="5" max="5" width="36" hidden="0" customWidth="1"/>
    <x:col min="6" max="6" width="40" hidden="0" customWidth="1"/>
  </x:cols>
  <x:sheetData>
    <x:row r="1">
      <x:c r="A1" s="65" t="str">
        <x:v>CÂN ĐỐI NỘI BỘ – DOANH THU &amp; CHI PHÍ TRẢ QUYỀN LỢI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13" t="str">
        <x:v>Chi phí chỉ có ý nghĩa sau khi nhập CP thực hiện/đơn vị tại Asset Master. Không dùng sheet này làm báo giá đối ngoại.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46" t="str">
        <x:v>Mã gói</x:v>
      </x:c>
      <x:c r="B4" s="47" t="str">
        <x:v>Tên gói</x:v>
      </x:c>
      <x:c r="C4" s="47" t="str">
        <x:v>Mức tài trợ/NTT</x:v>
      </x:c>
      <x:c r="D4" s="47" t="str">
        <x:v>Max NTT</x:v>
      </x:c>
      <x:c r="E4" s="47" t="str">
        <x:v>Doanh thu tối đa</x:v>
      </x:c>
      <x:c r="F4" s="47" t="str">
        <x:v>CP trả QL/01 NTT</x:v>
      </x:c>
      <x:c r="G4" s="47" t="str">
        <x:v>CP trả QL khi bán đủ</x:v>
      </x:c>
      <x:c r="H4" s="47" t="str">
        <x:v>CP/Doanh thu</x:v>
      </x:c>
      <x:c r="I4" s="47" t="str">
        <x:v>Doanh thu sau CP trực tiếp</x:v>
      </x:c>
      <x:c r="J4" s="47" t="str">
        <x:v>Trạng thái</x:v>
      </x:c>
      <x:c r="K4" s="48" t="str">
        <x:v>Ghi chú</x:v>
      </x:c>
    </x:row>
    <x:row r="5">
      <x:c r="A5" s="84" t="str">
        <x:v>G50</x:v>
      </x:c>
      <x:c r="B5" s="85" t="str">
        <x:v>ĐỒNG HÀNH</x:v>
      </x:c>
      <x:c r="C5" s="95" t="n">
        <x:v>50000000</x:v>
      </x:c>
      <x:c r="D5" s="95" t="n">
        <x:v>3</x:v>
      </x:c>
      <x:c r="E5" s="95" t="n">
        <x:v>150000000</x:v>
      </x:c>
      <x:c r="F5" s="95" t="n">
        <x:f>'03_Ma_tran_goi'!F6*'02_Asset_Master'!$S$5+'03_Ma_tran_goi'!F7*'02_Asset_Master'!$S$6+'03_Ma_tran_goi'!F8*'02_Asset_Master'!$S$7+'03_Ma_tran_goi'!F9*'02_Asset_Master'!$S$8+'03_Ma_tran_goi'!F10*'02_Asset_Master'!$S$9+'03_Ma_tran_goi'!F11*'02_Asset_Master'!$S$10+'03_Ma_tran_goi'!F12*'02_Asset_Master'!$S$11+'03_Ma_tran_goi'!F13*'02_Asset_Master'!$S$12+'03_Ma_tran_goi'!F14*'02_Asset_Master'!$S$13+'03_Ma_tran_goi'!F15*'02_Asset_Master'!$S$14+'03_Ma_tran_goi'!F16*'02_Asset_Master'!$S$15+'03_Ma_tran_goi'!F17*'02_Asset_Master'!$S$16+'03_Ma_tran_goi'!F18*'02_Asset_Master'!$S$17+'03_Ma_tran_goi'!F19*'02_Asset_Master'!$S$18+'03_Ma_tran_goi'!F20*'02_Asset_Master'!$S$19+'03_Ma_tran_goi'!F21*'02_Asset_Master'!$S$20+'03_Ma_tran_goi'!F22*'02_Asset_Master'!$S$21+'03_Ma_tran_goi'!F23*'02_Asset_Master'!$S$22+'03_Ma_tran_goi'!F24*'02_Asset_Master'!$S$23+'03_Ma_tran_goi'!F25*'02_Asset_Master'!$S$24+'03_Ma_tran_goi'!F26*'02_Asset_Master'!$S$25+'03_Ma_tran_goi'!F27*'02_Asset_Master'!$S$26+'03_Ma_tran_goi'!F28*'02_Asset_Master'!$S$27+'03_Ma_tran_goi'!F29*'02_Asset_Master'!$S$28+'03_Ma_tran_goi'!F30*'02_Asset_Master'!$S$29</x:f>
        <x:v>0</x:v>
      </x:c>
      <x:c r="G5" s="95" t="n">
        <x:f>F5*D5</x:f>
        <x:v>0</x:v>
      </x:c>
      <x:c r="H5" s="105" t="n">
        <x:f>IF(E5=0,0,G5/E5)</x:f>
        <x:v>0</x:v>
      </x:c>
      <x:c r="I5" s="95" t="n">
        <x:f>E5-G5</x:f>
        <x:v>150000000</x:v>
      </x:c>
      <x:c r="J5" s="85" t="str">
        <x:f>IF(H5&gt;0.25,"CẢNH BÁO","OK")</x:f>
        <x:v>OK</x:v>
      </x:c>
      <x:c r="K5" s="86" t="str">
        <x:v>Ngưỡng quản trị tham khảo: CP trực tiếp ≤25% doanh thu tài trợ</x:v>
      </x:c>
    </x:row>
    <x:row r="6">
      <x:c r="A6" s="84" t="str">
        <x:v>G100</x:v>
      </x:c>
      <x:c r="B6" s="85" t="str">
        <x:v>BẠC</x:v>
      </x:c>
      <x:c r="C6" s="95" t="n">
        <x:v>100000000</x:v>
      </x:c>
      <x:c r="D6" s="95" t="n">
        <x:v>3</x:v>
      </x:c>
      <x:c r="E6" s="95" t="n">
        <x:v>300000000</x:v>
      </x:c>
      <x:c r="F6" s="95" t="n">
        <x:f>'03_Ma_tran_goi'!G6*'02_Asset_Master'!$S$5+'03_Ma_tran_goi'!G7*'02_Asset_Master'!$S$6+'03_Ma_tran_goi'!G8*'02_Asset_Master'!$S$7+'03_Ma_tran_goi'!G9*'02_Asset_Master'!$S$8+'03_Ma_tran_goi'!G10*'02_Asset_Master'!$S$9+'03_Ma_tran_goi'!G11*'02_Asset_Master'!$S$10+'03_Ma_tran_goi'!G12*'02_Asset_Master'!$S$11+'03_Ma_tran_goi'!G13*'02_Asset_Master'!$S$12+'03_Ma_tran_goi'!G14*'02_Asset_Master'!$S$13+'03_Ma_tran_goi'!G15*'02_Asset_Master'!$S$14+'03_Ma_tran_goi'!G16*'02_Asset_Master'!$S$15+'03_Ma_tran_goi'!G17*'02_Asset_Master'!$S$16+'03_Ma_tran_goi'!G18*'02_Asset_Master'!$S$17+'03_Ma_tran_goi'!G19*'02_Asset_Master'!$S$18+'03_Ma_tran_goi'!G20*'02_Asset_Master'!$S$19+'03_Ma_tran_goi'!G21*'02_Asset_Master'!$S$20+'03_Ma_tran_goi'!G22*'02_Asset_Master'!$S$21+'03_Ma_tran_goi'!G23*'02_Asset_Master'!$S$22+'03_Ma_tran_goi'!G24*'02_Asset_Master'!$S$23+'03_Ma_tran_goi'!G25*'02_Asset_Master'!$S$24+'03_Ma_tran_goi'!G26*'02_Asset_Master'!$S$25+'03_Ma_tran_goi'!G27*'02_Asset_Master'!$S$26+'03_Ma_tran_goi'!G28*'02_Asset_Master'!$S$27+'03_Ma_tran_goi'!G29*'02_Asset_Master'!$S$28+'03_Ma_tran_goi'!G30*'02_Asset_Master'!$S$29</x:f>
        <x:v>0</x:v>
      </x:c>
      <x:c r="G6" s="95" t="n">
        <x:f>F6*D6</x:f>
        <x:v>0</x:v>
      </x:c>
      <x:c r="H6" s="105" t="n">
        <x:f>IF(E6=0,0,G6/E6)</x:f>
        <x:v>0</x:v>
      </x:c>
      <x:c r="I6" s="95" t="n">
        <x:f>E6-G6</x:f>
        <x:v>300000000</x:v>
      </x:c>
      <x:c r="J6" s="85" t="str">
        <x:f>IF(H6&gt;0.25,"CẢNH BÁO","OK")</x:f>
        <x:v>OK</x:v>
      </x:c>
      <x:c r="K6" s="86" t="str">
        <x:v>Ngưỡng quản trị tham khảo: CP trực tiếp ≤25% doanh thu tài trợ</x:v>
      </x:c>
    </x:row>
    <x:row r="7">
      <x:c r="A7" s="84" t="str">
        <x:v>G200</x:v>
      </x:c>
      <x:c r="B7" s="85" t="str">
        <x:v>VÀNG</x:v>
      </x:c>
      <x:c r="C7" s="95" t="n">
        <x:v>200000000</x:v>
      </x:c>
      <x:c r="D7" s="95" t="n">
        <x:v>2</x:v>
      </x:c>
      <x:c r="E7" s="95" t="n">
        <x:v>400000000</x:v>
      </x:c>
      <x:c r="F7" s="95" t="n">
        <x:f>'03_Ma_tran_goi'!H6*'02_Asset_Master'!$S$5+'03_Ma_tran_goi'!H7*'02_Asset_Master'!$S$6+'03_Ma_tran_goi'!H8*'02_Asset_Master'!$S$7+'03_Ma_tran_goi'!H9*'02_Asset_Master'!$S$8+'03_Ma_tran_goi'!H10*'02_Asset_Master'!$S$9+'03_Ma_tran_goi'!H11*'02_Asset_Master'!$S$10+'03_Ma_tran_goi'!H12*'02_Asset_Master'!$S$11+'03_Ma_tran_goi'!H13*'02_Asset_Master'!$S$12+'03_Ma_tran_goi'!H14*'02_Asset_Master'!$S$13+'03_Ma_tran_goi'!H15*'02_Asset_Master'!$S$14+'03_Ma_tran_goi'!H16*'02_Asset_Master'!$S$15+'03_Ma_tran_goi'!H17*'02_Asset_Master'!$S$16+'03_Ma_tran_goi'!H18*'02_Asset_Master'!$S$17+'03_Ma_tran_goi'!H19*'02_Asset_Master'!$S$18+'03_Ma_tran_goi'!H20*'02_Asset_Master'!$S$19+'03_Ma_tran_goi'!H21*'02_Asset_Master'!$S$20+'03_Ma_tran_goi'!H22*'02_Asset_Master'!$S$21+'03_Ma_tran_goi'!H23*'02_Asset_Master'!$S$22+'03_Ma_tran_goi'!H24*'02_Asset_Master'!$S$23+'03_Ma_tran_goi'!H25*'02_Asset_Master'!$S$24+'03_Ma_tran_goi'!H26*'02_Asset_Master'!$S$25+'03_Ma_tran_goi'!H27*'02_Asset_Master'!$S$26+'03_Ma_tran_goi'!H28*'02_Asset_Master'!$S$27+'03_Ma_tran_goi'!H29*'02_Asset_Master'!$S$28+'03_Ma_tran_goi'!H30*'02_Asset_Master'!$S$29</x:f>
        <x:v>0</x:v>
      </x:c>
      <x:c r="G7" s="95" t="n">
        <x:f>F7*D7</x:f>
        <x:v>0</x:v>
      </x:c>
      <x:c r="H7" s="105" t="n">
        <x:f>IF(E7=0,0,G7/E7)</x:f>
        <x:v>0</x:v>
      </x:c>
      <x:c r="I7" s="95" t="n">
        <x:f>E7-G7</x:f>
        <x:v>400000000</x:v>
      </x:c>
      <x:c r="J7" s="85" t="str">
        <x:f>IF(H7&gt;0.25,"CẢNH BÁO","OK")</x:f>
        <x:v>OK</x:v>
      </x:c>
      <x:c r="K7" s="86" t="str">
        <x:v>Ngưỡng quản trị tham khảo: CP trực tiếp ≤25% doanh thu tài trợ</x:v>
      </x:c>
    </x:row>
    <x:row r="8">
      <x:c r="A8" s="84" t="str">
        <x:v>G300</x:v>
      </x:c>
      <x:c r="B8" s="85" t="str">
        <x:v>BẠCH KIM</x:v>
      </x:c>
      <x:c r="C8" s="95" t="n">
        <x:v>300000000</x:v>
      </x:c>
      <x:c r="D8" s="95" t="n">
        <x:v>2</x:v>
      </x:c>
      <x:c r="E8" s="95" t="n">
        <x:v>600000000</x:v>
      </x:c>
      <x:c r="F8" s="95" t="n">
        <x:f>'03_Ma_tran_goi'!I6*'02_Asset_Master'!$S$5+'03_Ma_tran_goi'!I7*'02_Asset_Master'!$S$6+'03_Ma_tran_goi'!I8*'02_Asset_Master'!$S$7+'03_Ma_tran_goi'!I9*'02_Asset_Master'!$S$8+'03_Ma_tran_goi'!I10*'02_Asset_Master'!$S$9+'03_Ma_tran_goi'!I11*'02_Asset_Master'!$S$10+'03_Ma_tran_goi'!I12*'02_Asset_Master'!$S$11+'03_Ma_tran_goi'!I13*'02_Asset_Master'!$S$12+'03_Ma_tran_goi'!I14*'02_Asset_Master'!$S$13+'03_Ma_tran_goi'!I15*'02_Asset_Master'!$S$14+'03_Ma_tran_goi'!I16*'02_Asset_Master'!$S$15+'03_Ma_tran_goi'!I17*'02_Asset_Master'!$S$16+'03_Ma_tran_goi'!I18*'02_Asset_Master'!$S$17+'03_Ma_tran_goi'!I19*'02_Asset_Master'!$S$18+'03_Ma_tran_goi'!I20*'02_Asset_Master'!$S$19+'03_Ma_tran_goi'!I21*'02_Asset_Master'!$S$20+'03_Ma_tran_goi'!I22*'02_Asset_Master'!$S$21+'03_Ma_tran_goi'!I23*'02_Asset_Master'!$S$22+'03_Ma_tran_goi'!I24*'02_Asset_Master'!$S$23+'03_Ma_tran_goi'!I25*'02_Asset_Master'!$S$24+'03_Ma_tran_goi'!I26*'02_Asset_Master'!$S$25+'03_Ma_tran_goi'!I27*'02_Asset_Master'!$S$26+'03_Ma_tran_goi'!I28*'02_Asset_Master'!$S$27+'03_Ma_tran_goi'!I29*'02_Asset_Master'!$S$28+'03_Ma_tran_goi'!I30*'02_Asset_Master'!$S$29</x:f>
        <x:v>0</x:v>
      </x:c>
      <x:c r="G8" s="95" t="n">
        <x:f>F8*D8</x:f>
        <x:v>0</x:v>
      </x:c>
      <x:c r="H8" s="105" t="n">
        <x:f>IF(E8=0,0,G8/E8)</x:f>
        <x:v>0</x:v>
      </x:c>
      <x:c r="I8" s="95" t="n">
        <x:f>E8-G8</x:f>
        <x:v>600000000</x:v>
      </x:c>
      <x:c r="J8" s="85" t="str">
        <x:f>IF(H8&gt;0.25,"CẢNH BÁO","OK")</x:f>
        <x:v>OK</x:v>
      </x:c>
      <x:c r="K8" s="86" t="str">
        <x:v>Ngưỡng quản trị tham khảo: CP trực tiếp ≤25% doanh thu tài trợ</x:v>
      </x:c>
    </x:row>
    <x:row r="9">
      <x:c r="A9" s="84" t="str">
        <x:v>G500</x:v>
      </x:c>
      <x:c r="B9" s="85" t="str">
        <x:v>KIM CƯƠNG</x:v>
      </x:c>
      <x:c r="C9" s="95" t="n">
        <x:v>500000000</x:v>
      </x:c>
      <x:c r="D9" s="95" t="n">
        <x:v>1</x:v>
      </x:c>
      <x:c r="E9" s="95" t="n">
        <x:v>500000000</x:v>
      </x:c>
      <x:c r="F9" s="95" t="n">
        <x:f>'03_Ma_tran_goi'!J6*'02_Asset_Master'!$S$5+'03_Ma_tran_goi'!J7*'02_Asset_Master'!$S$6+'03_Ma_tran_goi'!J8*'02_Asset_Master'!$S$7+'03_Ma_tran_goi'!J9*'02_Asset_Master'!$S$8+'03_Ma_tran_goi'!J10*'02_Asset_Master'!$S$9+'03_Ma_tran_goi'!J11*'02_Asset_Master'!$S$10+'03_Ma_tran_goi'!J12*'02_Asset_Master'!$S$11+'03_Ma_tran_goi'!J13*'02_Asset_Master'!$S$12+'03_Ma_tran_goi'!J14*'02_Asset_Master'!$S$13+'03_Ma_tran_goi'!J15*'02_Asset_Master'!$S$14+'03_Ma_tran_goi'!J16*'02_Asset_Master'!$S$15+'03_Ma_tran_goi'!J17*'02_Asset_Master'!$S$16+'03_Ma_tran_goi'!J18*'02_Asset_Master'!$S$17+'03_Ma_tran_goi'!J19*'02_Asset_Master'!$S$18+'03_Ma_tran_goi'!J20*'02_Asset_Master'!$S$19+'03_Ma_tran_goi'!J21*'02_Asset_Master'!$S$20+'03_Ma_tran_goi'!J22*'02_Asset_Master'!$S$21+'03_Ma_tran_goi'!J23*'02_Asset_Master'!$S$22+'03_Ma_tran_goi'!J24*'02_Asset_Master'!$S$23+'03_Ma_tran_goi'!J25*'02_Asset_Master'!$S$24+'03_Ma_tran_goi'!J26*'02_Asset_Master'!$S$25+'03_Ma_tran_goi'!J27*'02_Asset_Master'!$S$26+'03_Ma_tran_goi'!J28*'02_Asset_Master'!$S$27+'03_Ma_tran_goi'!J29*'02_Asset_Master'!$S$28+'03_Ma_tran_goi'!J30*'02_Asset_Master'!$S$29</x:f>
        <x:v>0</x:v>
      </x:c>
      <x:c r="G9" s="95" t="n">
        <x:f>F9*D9</x:f>
        <x:v>0</x:v>
      </x:c>
      <x:c r="H9" s="105" t="n">
        <x:f>IF(E9=0,0,G9/E9)</x:f>
        <x:v>0</x:v>
      </x:c>
      <x:c r="I9" s="95" t="n">
        <x:f>E9-G9</x:f>
        <x:v>500000000</x:v>
      </x:c>
      <x:c r="J9" s="85" t="str">
        <x:f>IF(H9&gt;0.25,"CẢNH BÁO","OK")</x:f>
        <x:v>OK</x:v>
      </x:c>
      <x:c r="K9" s="86" t="str">
        <x:v>Ngưỡng quản trị tham khảo: CP trực tiếp ≤25% doanh thu tài trợ</x:v>
      </x:c>
    </x:row>
    <x:row r="10">
      <x:c r="A10" s="84" t="str">
        <x:v>G1000</x:v>
      </x:c>
      <x:c r="B10" s="85" t="str">
        <x:v>NHÀ TÀI TRỢ CHÍNH</x:v>
      </x:c>
      <x:c r="C10" s="95" t="n">
        <x:v>1000000000</x:v>
      </x:c>
      <x:c r="D10" s="95" t="n">
        <x:v>1</x:v>
      </x:c>
      <x:c r="E10" s="95" t="n">
        <x:v>1000000000</x:v>
      </x:c>
      <x:c r="F10" s="95" t="n">
        <x:f>'03_Ma_tran_goi'!K6*'02_Asset_Master'!$S$5+'03_Ma_tran_goi'!K7*'02_Asset_Master'!$S$6+'03_Ma_tran_goi'!K8*'02_Asset_Master'!$S$7+'03_Ma_tran_goi'!K9*'02_Asset_Master'!$S$8+'03_Ma_tran_goi'!K10*'02_Asset_Master'!$S$9+'03_Ma_tran_goi'!K11*'02_Asset_Master'!$S$10+'03_Ma_tran_goi'!K12*'02_Asset_Master'!$S$11+'03_Ma_tran_goi'!K13*'02_Asset_Master'!$S$12+'03_Ma_tran_goi'!K14*'02_Asset_Master'!$S$13+'03_Ma_tran_goi'!K15*'02_Asset_Master'!$S$14+'03_Ma_tran_goi'!K16*'02_Asset_Master'!$S$15+'03_Ma_tran_goi'!K17*'02_Asset_Master'!$S$16+'03_Ma_tran_goi'!K18*'02_Asset_Master'!$S$17+'03_Ma_tran_goi'!K19*'02_Asset_Master'!$S$18+'03_Ma_tran_goi'!K20*'02_Asset_Master'!$S$19+'03_Ma_tran_goi'!K21*'02_Asset_Master'!$S$20+'03_Ma_tran_goi'!K22*'02_Asset_Master'!$S$21+'03_Ma_tran_goi'!K23*'02_Asset_Master'!$S$22+'03_Ma_tran_goi'!K24*'02_Asset_Master'!$S$23+'03_Ma_tran_goi'!K25*'02_Asset_Master'!$S$24+'03_Ma_tran_goi'!K26*'02_Asset_Master'!$S$25+'03_Ma_tran_goi'!K27*'02_Asset_Master'!$S$26+'03_Ma_tran_goi'!K28*'02_Asset_Master'!$S$27+'03_Ma_tran_goi'!K29*'02_Asset_Master'!$S$28+'03_Ma_tran_goi'!K30*'02_Asset_Master'!$S$29</x:f>
        <x:v>0</x:v>
      </x:c>
      <x:c r="G10" s="95" t="n">
        <x:f>F10*D10</x:f>
        <x:v>0</x:v>
      </x:c>
      <x:c r="H10" s="105" t="n">
        <x:f>IF(E10=0,0,G10/E10)</x:f>
        <x:v>0</x:v>
      </x:c>
      <x:c r="I10" s="95" t="n">
        <x:f>E10-G10</x:f>
        <x:v>1000000000</x:v>
      </x:c>
      <x:c r="J10" s="85" t="str">
        <x:f>IF(H10&gt;0.25,"CẢNH BÁO","OK")</x:f>
        <x:v>OK</x:v>
      </x:c>
      <x:c r="K10" s="86" t="str">
        <x:v>Ngưỡng quản trị tham khảo: CP trực tiếp ≤25% doanh thu tài trợ</x:v>
      </x:c>
    </x:row>
    <x:row r="11">
      <x:c r="A11" s="87"/>
      <x:c r="B11" s="88" t="str">
        <x:v>TỔNG</x:v>
      </x:c>
      <x:c r="C11" s="107" t="n">
        <x:v>2150000000</x:v>
      </x:c>
      <x:c r="D11" s="107" t="n">
        <x:v>12</x:v>
      </x:c>
      <x:c r="E11" s="107" t="n">
        <x:v>2950000000</x:v>
      </x:c>
      <x:c r="F11" s="107"/>
      <x:c r="G11" s="107" t="n">
        <x:f>SUM(G5:G10)</x:f>
        <x:v>0</x:v>
      </x:c>
      <x:c r="H11" s="108" t="n">
        <x:f>IF(E11=0,0,G11/E11)</x:f>
        <x:v>0</x:v>
      </x:c>
      <x:c r="I11" s="107" t="n">
        <x:f>E11-G11</x:f>
        <x:v>2950000000</x:v>
      </x:c>
      <x:c r="J11" s="88"/>
      <x:c r="K11" s="89"/>
    </x:row>
    <x:row r="14">
      <x:c r="A14" s="46" t="str">
        <x:v>Gói</x:v>
      </x:c>
      <x:c r="B14" s="47" t="str">
        <x:v>Vai trò</x:v>
      </x:c>
      <x:c r="C14" s="47" t="str">
        <x:v>Bước nhảy quyền lợi</x:v>
      </x:c>
      <x:c r="D14" s="47" t="str">
        <x:v>Quyền lợi khác biệt</x:v>
      </x:c>
      <x:c r="E14" s="47" t="str">
        <x:v>Không nên hứa thêm</x:v>
      </x:c>
      <x:c r="F14" s="48" t="str">
        <x:v>Gợi ý bán hàng</x:v>
      </x:c>
    </x:row>
    <x:row r="15">
      <x:c r="A15" s="49" t="str">
        <x:v>ĐỒNG HÀNH 50M</x:v>
      </x:c>
      <x:c r="B15" s="44" t="str">
        <x:v>Hiện diện chính thức</x:v>
      </x:c>
      <x:c r="C15" s="44" t="str">
        <x:v>Vào hệ sinh thái nhận diện chung của giải</x:v>
      </x:c>
      <x:c r="D15" s="44" t="str">
        <x:v>Logobox quảng bá + Gala + recap chung</x:v>
      </x:c>
      <x:c r="E15" s="44" t="str">
        <x:v>Không golfer, PR riêng, banner riêng</x:v>
      </x:c>
      <x:c r="F15" s="50" t="str">
        <x:v>Phù hợp DN cần hiện diện chính thức</x:v>
      </x:c>
    </x:row>
    <x:row r="16">
      <x:c r="A16" s="49" t="str">
        <x:v>BẠC 100M</x:v>
      </x:c>
      <x:c r="B16" s="44" t="str">
        <x:v>Bắt đầu có trải nghiệm giải</x:v>
      </x:c>
      <x:c r="C16" s="44" t="str">
        <x:v>Có golfer + PR riêng</x:v>
      </x:c>
      <x:c r="D16" s="44" t="str">
        <x:v>01 golfer + 01 PR + logobox cuối bài</x:v>
      </x:c>
      <x:c r="E16" s="44" t="str">
        <x:v>Chưa có hố, booth, banner riêng</x:v>
      </x:c>
      <x:c r="F16" s="50" t="str">
        <x:v>Phù hợp DN muốn tham dự và có nội dung thương mại</x:v>
      </x:c>
    </x:row>
    <x:row r="17">
      <x:c r="A17" s="49" t="str">
        <x:v>VÀNG 200M</x:v>
      </x:c>
      <x:c r="B17" s="44" t="str">
        <x:v>Bắt đầu quyền lợi dedicated</x:v>
      </x:c>
      <x:c r="C17" s="44" t="str">
        <x:v>Có hố + nghi thức + social riêng</x:v>
      </x:c>
      <x:c r="D17" s="44" t="str">
        <x:v>01 hố + 02 golfer + trao giải + 01 PR + 01 social</x:v>
      </x:c>
      <x:c r="E17" s="44" t="str">
        <x:v>Chưa booth/TVC/banner riêng</x:v>
      </x:c>
      <x:c r="F17" s="50" t="str">
        <x:v>Mốc chuyển từ hiện diện sang tương tác</x:v>
      </x:c>
    </x:row>
    <x:row r="18">
      <x:c r="A18" s="49" t="str">
        <x:v>BẠCH KIM 300M</x:v>
      </x:c>
      <x:c r="B18" s="44" t="str">
        <x:v>Gói activation + media</x:v>
      </x:c>
      <x:c r="C18" s="44" t="str">
        <x:v>Mở booth/TVC/banner riêng</x:v>
      </x:c>
      <x:c r="D18" s="44" t="str">
        <x:v>04 golfer + booth + TVC + 02 PR + banner riêng 07 ngày</x:v>
      </x:c>
      <x:c r="E18" s="44" t="str">
        <x:v>Không trưng bày lớn/sampling</x:v>
      </x:c>
      <x:c r="F18" s="50" t="str">
        <x:v>Phù hợp thương hiệu muốn activation và quảng cáo riêng</x:v>
      </x:c>
    </x:row>
    <x:row r="19">
      <x:c r="A19" s="49" t="str">
        <x:v>KIM CƯƠNG 500M</x:v>
      </x:c>
      <x:c r="B19" s="44" t="str">
        <x:v>Gói premium</x:v>
      </x:c>
      <x:c r="C19" s="44" t="str">
        <x:v>Tăng hospitality và media</x:v>
      </x:c>
      <x:c r="D19" s="44" t="str">
        <x:v>08 golfer + trưng bày lớn + sampling + 03 PR + banner riêng 14 ngày</x:v>
      </x:c>
      <x:c r="E19" s="44" t="str">
        <x:v>Không phát biểu Gala</x:v>
      </x:c>
      <x:c r="F19" s="50" t="str">
        <x:v>Tập trung trải nghiệm, tiếp khách và độ sâu truyền thông</x:v>
      </x:c>
    </x:row>
    <x:row r="20">
      <x:c r="A20" s="51" t="str">
        <x:v>NTT CHÍNH 1 TỶ</x:v>
      </x:c>
      <x:c r="B20" s="52" t="str">
        <x:v>Đồng hành cấp cao nhất</x:v>
      </x:c>
      <x:c r="C20" s="52" t="str">
        <x:v>Vị thế số 1, không nhân cơ học số quyền lợi</x:v>
      </x:c>
      <x:c r="D20" s="52" t="str">
        <x:v>Ưu tiên số 1 logobox/MC + phát biểu + 02 hố + 05 PR + banner riêng 28 ngày</x:v>
      </x:c>
      <x:c r="E20" s="52" t="str">
        <x:v>Không độc quyền ngành hàng</x:v>
      </x:c>
      <x:c r="F20" s="53" t="str">
        <x:v>Bán bằng vị thế, nghi thức và độ phủ xuyên 07 không gian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14" hidden="0" customWidth="1"/>
    <x:col min="5" max="5" width="16" hidden="0" customWidth="1"/>
    <x:col min="6" max="6" width="32" hidden="0" customWidth="1"/>
    <x:col min="7" max="7" width="44" hidden="0" customWidth="1"/>
  </x:cols>
  <x:sheetData>
    <x:row r="1">
      <x:c r="A1" s="65" t="str">
        <x:v>CHECKLIST KHÓA QUYỀN LỢI TRƯỚC KHI PHÁT HÀNH/HỢP ĐỒNG</x:v>
      </x:c>
      <x:c r="B1" s="65"/>
      <x:c r="C1" s="65"/>
      <x:c r="D1" s="65"/>
      <x:c r="E1" s="65"/>
      <x:c r="F1" s="65"/>
      <x:c r="G1" s="65"/>
    </x:row>
    <x:row r="3">
      <x:c r="A3" s="46" t="str">
        <x:v>Nhóm</x:v>
      </x:c>
      <x:c r="B3" s="47" t="str">
        <x:v>Hạng mục cần khóa</x:v>
      </x:c>
      <x:c r="C3" s="47" t="str">
        <x:v>Chủ trì</x:v>
      </x:c>
      <x:c r="D3" s="47" t="str">
        <x:v>Deadline</x:v>
      </x:c>
      <x:c r="E3" s="47" t="str">
        <x:v>Trạng thái</x:v>
      </x:c>
      <x:c r="F3" s="47" t="str">
        <x:v>Bằng chứng/đầu ra</x:v>
      </x:c>
      <x:c r="G3" s="48" t="str">
        <x:v>Ghi chú</x:v>
      </x:c>
    </x:row>
    <x:row r="4">
      <x:c r="A4" s="49" t="str">
        <x:v>Thiết kế</x:v>
      </x:c>
      <x:c r="B4" s="44" t="str">
        <x:v>Chốt guideline logobox: thứ tự, kích thước tương đối theo 6 danh vị</x:v>
      </x:c>
      <x:c r="C4" s="44" t="str">
        <x:v>Thiết kế/Media</x:v>
      </x:c>
      <x:c r="D4" s="44"/>
      <x:c r="E4" s="44" t="str">
        <x:v>Chưa khóa</x:v>
      </x:c>
      <x:c r="F4" s="44" t="str">
        <x:v>01 file guideline master</x:v>
      </x:c>
      <x:c r="G4" s="50" t="str">
        <x:v>Dùng cho banner quảng bá, cuối bài, backdrop/LED, Gala, recap</x:v>
      </x:c>
    </x:row>
    <x:row r="5">
      <x:c r="A5" s="49" t="str">
        <x:v>Media</x:v>
      </x:c>
      <x:c r="B5" s="44" t="str">
        <x:v>Chốt vị trí banner Top trang chủ/các banner quảng bá giải có logobox NTT</x:v>
      </x:c>
      <x:c r="C5" s="44" t="str">
        <x:v>Media/AdOps</x:v>
      </x:c>
      <x:c r="D5" s="44"/>
      <x:c r="E5" s="44" t="str">
        <x:v>Chưa khóa</x:v>
      </x:c>
      <x:c r="F5" s="44" t="str">
        <x:v>Kế hoạch hiển thị</x:v>
      </x:c>
      <x:c r="G5" s="50" t="str">
        <x:v>Đây là banner quảng bá GIẢI, không phải banner riêng của DN</x:v>
      </x:c>
    </x:row>
    <x:row r="6">
      <x:c r="A6" s="49" t="str">
        <x:v>Media</x:v>
      </x:c>
      <x:c r="B6" s="44" t="str">
        <x:v>Chốt template logobox cuối tin/bài điện tử và báo in</x:v>
      </x:c>
      <x:c r="C6" s="44" t="str">
        <x:v>Media/Thiết kế</x:v>
      </x:c>
      <x:c r="D6" s="44"/>
      <x:c r="E6" s="44" t="str">
        <x:v>Chưa khóa</x:v>
      </x:c>
      <x:c r="F6" s="44" t="str">
        <x:v>Template + quy tắc áp dụng</x:v>
      </x:c>
      <x:c r="G6" s="50" t="str">
        <x:v>Áp dụng cho các tin/bài phù hợp thuộc tuyến nội dung về giải</x:v>
      </x:c>
    </x:row>
    <x:row r="7">
      <x:c r="A7" s="49" t="str">
        <x:v>Media</x:v>
      </x:c>
      <x:c r="B7" s="44" t="str">
        <x:v>Khóa kho PR/Advertorial tối thiểu 18 bài</x:v>
      </x:c>
      <x:c r="C7" s="44" t="str">
        <x:v>Media</x:v>
      </x:c>
      <x:c r="D7" s="44"/>
      <x:c r="E7" s="44" t="str">
        <x:v>Chưa khóa</x:v>
      </x:c>
      <x:c r="F7" s="44" t="str">
        <x:v>Media plan</x:v>
      </x:c>
      <x:c r="G7" s="50" t="str">
        <x:v>Cơ cấu 06 gói dùng 17 bài, giữ buffer 01 bài</x:v>
      </x:c>
    </x:row>
    <x:row r="8">
      <x:c r="A8" s="49" t="str">
        <x:v>Media</x:v>
      </x:c>
      <x:c r="B8" s="44" t="str">
        <x:v>Khóa kho banner quảng cáo riêng ≥10 vị trí-tuần</x:v>
      </x:c>
      <x:c r="C8" s="44" t="str">
        <x:v>AdOps</x:v>
      </x:c>
      <x:c r="D8" s="44"/>
      <x:c r="E8" s="44" t="str">
        <x:v>Chưa khóa</x:v>
      </x:c>
      <x:c r="F8" s="44" t="str">
        <x:v>Inventory/booking plan</x:v>
      </x:c>
      <x:c r="G8" s="50" t="str">
        <x:v>Chỉ áp dụng 300M+: 07/14/28 ngày</x:v>
      </x:c>
    </x:row>
    <x:row r="9">
      <x:c r="A9" s="49" t="str">
        <x:v>Media</x:v>
      </x:c>
      <x:c r="B9" s="44" t="str">
        <x:v>Khóa kho social riêng ≥10 post</x:v>
      </x:c>
      <x:c r="C9" s="44" t="str">
        <x:v>Social</x:v>
      </x:c>
      <x:c r="D9" s="44"/>
      <x:c r="E9" s="44" t="str">
        <x:v>Chưa khóa</x:v>
      </x:c>
      <x:c r="F9" s="44" t="str">
        <x:v>Social plan</x:v>
      </x:c>
      <x:c r="G9" s="50" t="str">
        <x:v>Cơ cấu 06 gói dùng 09 post</x:v>
      </x:c>
    </x:row>
    <x:row r="10">
      <x:c r="A10" s="49" t="str">
        <x:v>Golf</x:v>
      </x:c>
      <x:c r="B10" s="44" t="str">
        <x:v>Khóa quota golfer tối thiểu 32 suất NTT</x:v>
      </x:c>
      <x:c r="C10" s="44" t="str">
        <x:v>BTC/Golfer</x:v>
      </x:c>
      <x:c r="D10" s="44"/>
      <x:c r="E10" s="44" t="str">
        <x:v>Chưa khóa</x:v>
      </x:c>
      <x:c r="F10" s="44" t="str">
        <x:v>Pairing quota</x:v>
      </x:c>
      <x:c r="G10" s="50" t="str">
        <x:v>Cơ cấu dùng 31 suất</x:v>
      </x:c>
    </x:row>
    <x:row r="11">
      <x:c r="A11" s="49" t="str">
        <x:v>Golf</x:v>
      </x:c>
      <x:c r="B11" s="44" t="str">
        <x:v>Khóa 08 hố thường thương mại hóa + HIO/giải kỹ thuật riêng</x:v>
      </x:c>
      <x:c r="C11" s="44" t="str">
        <x:v>BTC/Sân</x:v>
      </x:c>
      <x:c r="D11" s="44"/>
      <x:c r="E11" s="44" t="str">
        <x:v>Chưa khóa</x:v>
      </x:c>
      <x:c r="F11" s="44" t="str">
        <x:v>Sơ đồ sân</x:v>
      </x:c>
      <x:c r="G11" s="50" t="str">
        <x:v>Không tính trùng</x:v>
      </x:c>
    </x:row>
    <x:row r="12">
      <x:c r="A12" s="49" t="str">
        <x:v>Gala</x:v>
      </x:c>
      <x:c r="B12" s="44" t="str">
        <x:v>Khóa 60 suất Gala/VIP dành cho NTT/khách NTT</x:v>
      </x:c>
      <x:c r="C12" s="44" t="str">
        <x:v>Guest/Gala</x:v>
      </x:c>
      <x:c r="D12" s="44"/>
      <x:c r="E12" s="44" t="str">
        <x:v>Chưa khóa</x:v>
      </x:c>
      <x:c r="F12" s="44" t="str">
        <x:v>Seating quota</x:v>
      </x:c>
      <x:c r="G12" s="50" t="str">
        <x:v>Cơ cấu dùng 46 suất</x:v>
      </x:c>
    </x:row>
    <x:row r="13">
      <x:c r="A13" s="49" t="str">
        <x:v>Gala</x:v>
      </x:c>
      <x:c r="B13" s="44" t="str">
        <x:v>Khóa 06 slot trao giải, 01 phát biểu, 04 TVC</x:v>
      </x:c>
      <x:c r="C13" s="44" t="str">
        <x:v>Stage/Gala</x:v>
      </x:c>
      <x:c r="D13" s="44"/>
      <x:c r="E13" s="44" t="str">
        <x:v>Chưa khóa</x:v>
      </x:c>
      <x:c r="F13" s="44" t="str">
        <x:v>Run-of-show</x:v>
      </x:c>
      <x:c r="G13" s="50" t="str">
        <x:v>Không mở thêm nếu chưa điều chỉnh kịch bản</x:v>
      </x:c>
    </x:row>
    <x:row r="14">
      <x:c r="A14" s="49" t="str">
        <x:v>Activation</x:v>
      </x:c>
      <x:c r="B14" s="44" t="str">
        <x:v>Khóa 04 booth, 02 vị trí trưng bày lớn, 03 sampling</x:v>
      </x:c>
      <x:c r="C14" s="44" t="str">
        <x:v>Event</x:v>
      </x:c>
      <x:c r="D14" s="44"/>
      <x:c r="E14" s="44" t="str">
        <x:v>Chưa khóa</x:v>
      </x:c>
      <x:c r="F14" s="44" t="str">
        <x:v>Layout</x:v>
      </x:c>
      <x:c r="G14" s="50" t="str">
        <x:v>Xác nhận điện, thi công, vận chuyển</x:v>
      </x:c>
    </x:row>
    <x:row r="15">
      <x:c r="A15" s="49" t="str">
        <x:v>Tài chính</x:v>
      </x:c>
      <x:c r="B15" s="44" t="str">
        <x:v>Nhập CP thực hiện/đơn vị cho các asset có chi phí trực tiếp</x:v>
      </x:c>
      <x:c r="C15" s="44" t="str">
        <x:v>Tài chính/Event</x:v>
      </x:c>
      <x:c r="D15" s="44"/>
      <x:c r="E15" s="44" t="str">
        <x:v>Chưa khóa</x:v>
      </x:c>
      <x:c r="F15" s="44" t="str">
        <x:v>Bảng CP nội bộ</x:v>
      </x:c>
      <x:c r="G15" s="50" t="str">
        <x:v>Theo dõi tỷ lệ CP/Doanh thu</x:v>
      </x:c>
    </x:row>
    <x:row r="16">
      <x:c r="A16" s="49" t="str">
        <x:v>Hợp đồng</x:v>
      </x:c>
      <x:c r="B16" s="44" t="str">
        <x:v>Khóa nguyên tắc tài trợ hiện vật/dịch vụ và cách xác định giá trị ghi nhận</x:v>
      </x:c>
      <x:c r="C16" s="44" t="str">
        <x:v>BTC/Tài chính</x:v>
      </x:c>
      <x:c r="D16" s="44"/>
      <x:c r="E16" s="44" t="str">
        <x:v>Chưa khóa</x:v>
      </x:c>
      <x:c r="F16" s="44" t="str">
        <x:v>Điều khoản hợp đồng</x:v>
      </x:c>
      <x:c r="G16" s="50" t="str">
        <x:v>Không mặc định theo giá niêm yết</x:v>
      </x:c>
    </x:row>
    <x:row r="17">
      <x:c r="A17" s="49" t="str">
        <x:v>Hợp đồng</x:v>
      </x:c>
      <x:c r="B17" s="44" t="str">
        <x:v>Khóa nguyên tắc make-good/quyền lợi thay thế</x:v>
      </x:c>
      <x:c r="C17" s="44" t="str">
        <x:v>BTC/Pháp chế</x:v>
      </x:c>
      <x:c r="D17" s="44"/>
      <x:c r="E17" s="44" t="str">
        <x:v>Chưa khóa</x:v>
      </x:c>
      <x:c r="F17" s="44" t="str">
        <x:v>Điều khoản hợp đồng</x:v>
      </x:c>
      <x:c r="G17" s="50" t="str">
        <x:v>Áp dụng khi thay đổi khách quan</x:v>
      </x:c>
    </x:row>
    <x:row r="18">
      <x:c r="A18" s="51" t="str">
        <x:v>Hợp đồng</x:v>
      </x:c>
      <x:c r="B18" s="52" t="str">
        <x:v>Chốt nghĩa vụ thuế, chứng từ và cách diễn đạt giá trị tài trợ</x:v>
      </x:c>
      <x:c r="C18" s="52" t="str">
        <x:v>Tài chính/Pháp chế</x:v>
      </x:c>
      <x:c r="D18" s="52"/>
      <x:c r="E18" s="52" t="str">
        <x:v>Chưa khóa</x:v>
      </x:c>
      <x:c r="F18" s="52" t="str">
        <x:v>Điều khoản hợp đồng</x:v>
      </x:c>
      <x:c r="G18" s="53" t="str">
        <x:v>Tránh tranh luận VAT/chứng từ sau ký</x:v>
      </x:c>
    </x:row>
  </x:sheetData>
  <x:mergeCells>
    <x:mergeCell ref="A1:G1"/>
  </x:mergeCells>
  <x:dataValidations count="1">
    <x:dataValidation type="list" sqref="E4:E18">
      <x:formula1>"Chưa khóa,Đang xử lý,Đã khóa,Không áp dụng"</x:formula1>
    </x:dataValidation>
  </x:dataValidations>
  <x:pageMargins left="0.7" right="0.7" top="0.75" bottom="0.75" header="0.3" footer="0.3"/>
</x:worksheet>
</file>